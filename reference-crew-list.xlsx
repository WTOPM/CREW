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d.docs.live.net/6ce85d8e04814951/Desktop/"/>
    </mc:Choice>
  </mc:AlternateContent>
  <xr:revisionPtr revIDLastSave="0" documentId="8_{3046B374-537C-47A6-8B72-C1710E7AA6F4}" xr6:coauthVersionLast="47" xr6:coauthVersionMax="47" xr10:uidLastSave="{00000000-0000-0000-0000-000000000000}"/>
  <bookViews>
    <workbookView xWindow="-120" yWindow="-120" windowWidth="38640" windowHeight="21120" xr2:uid="{F3131472-ECBC-4B7A-82DF-D06DE77DA71C}"/>
  </bookViews>
  <sheets>
    <sheet name="Crew Arr." sheetId="1" r:id="rId1"/>
  </sheets>
  <externalReferences>
    <externalReference r:id="rId2"/>
  </externalReferences>
  <definedNames>
    <definedName name="_BunkersTypes">OFFSET(#REF!,0,0,COUNTA(#REF!))</definedName>
    <definedName name="_BunkersUnits">OFFSET(#REF!,0,0,COUNTA(#REF!))</definedName>
    <definedName name="_CertificateIssuers">OFFSET(#REF!,0,0,COUNTA(#REF!))</definedName>
    <definedName name="_Countries">OFFSET(#REF!,0,0,COUNTA(#REF!))</definedName>
    <definedName name="_CrewIdTypes">OFFSET(#REF!,0,0,COUNTA(#REF!))</definedName>
    <definedName name="_DgClassifications">OFFSET(#REF!,0,0,COUNTA(#REF!))</definedName>
    <definedName name="_DpgUnits">OFFSET(#REF!,0,0,COUNTA(#REF!))</definedName>
    <definedName name="_Genders">OFFSET(#REF!,0,0,COUNTA(#REF!))</definedName>
    <definedName name="_ImoHazardClasses">OFFSET(#REF!,0,0,COUNTA(#REF!))</definedName>
    <definedName name="_IsscIssuerTypes">OFFSET(#REF!,0,0,COUNTA(#REF!))</definedName>
    <definedName name="_IsscTypes">OFFSET(#REF!,0,0,COUNTA(#REF!))</definedName>
    <definedName name="_LatitudeDirections">#REF!</definedName>
    <definedName name="_LongitudeDirections">#REF!</definedName>
    <definedName name="_PaxIdTypes">OFFSET(#REF!,0,0,COUNTA(#REF!))</definedName>
    <definedName name="_Purposes">OFFSET(#REF!,0,0,COUNTA(#REF!))</definedName>
    <definedName name="_SecurityLevels">OFFSET(#REF!,0,0,COUNTA(#REF!))</definedName>
    <definedName name="_ShipContactPreferredMediums">OFFSET(#REF!,0,0,COUNTA(#REF!))</definedName>
    <definedName name="_ShipStoreTypes">OFFSET(#REF!,0,0,COUNTA(#REF!))</definedName>
    <definedName name="_WasteCodes">OFFSET(#REF!,0,0,COUNTA(#REF!))</definedName>
    <definedName name="_WasteStatuses">OFFSET(#REF!,0,0,COUNTA(#REF!))</definedName>
    <definedName name="_WasteTypes">OFFSET(#REF!,0,0,COUNTA(#REF!))</definedName>
    <definedName name="_YesNo">OFFSET(#REF!,0,0,COUNTA(#REF!))</definedName>
    <definedName name="Check1">#REF!</definedName>
    <definedName name="Check3">#REF!</definedName>
    <definedName name="Check4">#REF!</definedName>
    <definedName name="ETA_PortOfCall">#REF!</definedName>
    <definedName name="ETD_LastPort">#REF!</definedName>
    <definedName name="ETD_PortOfCall">#REF!</definedName>
    <definedName name="_xlnm.Print_Area" localSheetId="0">'Crew Arr.'!$A$1:$J$50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H23" i="1"/>
  <c r="G23" i="1"/>
  <c r="E23" i="1"/>
  <c r="D23" i="1"/>
  <c r="C23" i="1"/>
  <c r="B23" i="1"/>
  <c r="J22" i="1"/>
  <c r="H22" i="1"/>
  <c r="G22" i="1"/>
  <c r="E22" i="1"/>
  <c r="D22" i="1"/>
  <c r="C22" i="1"/>
  <c r="B22" i="1"/>
  <c r="J21" i="1"/>
  <c r="H21" i="1"/>
  <c r="G21" i="1"/>
  <c r="E21" i="1"/>
  <c r="D21" i="1"/>
  <c r="C21" i="1"/>
  <c r="B21" i="1"/>
  <c r="J20" i="1"/>
  <c r="H20" i="1"/>
  <c r="G20" i="1"/>
  <c r="E20" i="1"/>
  <c r="D20" i="1"/>
  <c r="C20" i="1"/>
  <c r="B20" i="1"/>
  <c r="J19" i="1"/>
  <c r="H19" i="1"/>
  <c r="G19" i="1"/>
  <c r="E19" i="1"/>
  <c r="D19" i="1"/>
  <c r="C19" i="1"/>
  <c r="B19" i="1"/>
  <c r="J18" i="1"/>
  <c r="H18" i="1"/>
  <c r="G18" i="1"/>
  <c r="E18" i="1"/>
  <c r="D18" i="1"/>
  <c r="C18" i="1"/>
  <c r="B18" i="1"/>
  <c r="J17" i="1"/>
  <c r="H17" i="1"/>
  <c r="G17" i="1"/>
  <c r="E17" i="1"/>
  <c r="D17" i="1"/>
  <c r="C17" i="1"/>
  <c r="B17" i="1"/>
  <c r="J16" i="1"/>
  <c r="H16" i="1"/>
  <c r="G16" i="1"/>
  <c r="E16" i="1"/>
  <c r="D16" i="1"/>
  <c r="C16" i="1"/>
  <c r="B16" i="1"/>
  <c r="J15" i="1"/>
  <c r="H15" i="1"/>
  <c r="G15" i="1"/>
  <c r="E15" i="1"/>
  <c r="D15" i="1"/>
  <c r="C15" i="1"/>
  <c r="B15" i="1"/>
  <c r="J14" i="1"/>
  <c r="H14" i="1"/>
  <c r="G14" i="1"/>
  <c r="E14" i="1"/>
  <c r="D14" i="1"/>
  <c r="C14" i="1"/>
  <c r="B14" i="1"/>
  <c r="J13" i="1"/>
  <c r="H13" i="1"/>
  <c r="G13" i="1"/>
  <c r="E13" i="1"/>
  <c r="D13" i="1"/>
  <c r="C13" i="1"/>
  <c r="B13" i="1"/>
  <c r="J12" i="1"/>
  <c r="H12" i="1"/>
  <c r="G12" i="1"/>
  <c r="E12" i="1"/>
  <c r="D12" i="1"/>
  <c r="C12" i="1"/>
  <c r="B12" i="1"/>
  <c r="J11" i="1"/>
  <c r="H11" i="1"/>
  <c r="G11" i="1"/>
  <c r="E11" i="1"/>
  <c r="D11" i="1"/>
  <c r="C11" i="1"/>
  <c r="B11" i="1"/>
  <c r="I8" i="1"/>
  <c r="E8" i="1"/>
  <c r="B8" i="1"/>
  <c r="H6" i="1"/>
  <c r="E6" i="1"/>
  <c r="B6" i="1"/>
</calcChain>
</file>

<file path=xl/sharedStrings.xml><?xml version="1.0" encoding="utf-8"?>
<sst xmlns="http://schemas.openxmlformats.org/spreadsheetml/2006/main" count="24" uniqueCount="23">
  <si>
    <t>IMO CREW LIST</t>
  </si>
  <si>
    <t xml:space="preserve">  Page No.</t>
  </si>
  <si>
    <t>x</t>
  </si>
  <si>
    <t xml:space="preserve">  Arrival</t>
  </si>
  <si>
    <t xml:space="preserve">  Departure</t>
  </si>
  <si>
    <t xml:space="preserve">  1.   Name of ship</t>
  </si>
  <si>
    <r>
      <rPr>
        <sz val="7"/>
        <rFont val="Arial"/>
        <family val="2"/>
        <charset val="1"/>
      </rPr>
      <t xml:space="preserve">  2.   Port of</t>
    </r>
    <r>
      <rPr>
        <u/>
        <sz val="7"/>
        <rFont val="Arial"/>
        <family val="2"/>
        <charset val="1"/>
      </rPr>
      <t xml:space="preserve"> arrival </t>
    </r>
    <r>
      <rPr>
        <sz val="7"/>
        <rFont val="Arial"/>
        <family val="2"/>
        <charset val="1"/>
      </rPr>
      <t>/ departure</t>
    </r>
  </si>
  <si>
    <r>
      <rPr>
        <sz val="6"/>
        <rFont val="Arial"/>
        <family val="2"/>
        <charset val="1"/>
      </rPr>
      <t xml:space="preserve">  3.   Date of</t>
    </r>
    <r>
      <rPr>
        <u/>
        <sz val="6"/>
        <rFont val="Arial"/>
        <family val="2"/>
        <charset val="1"/>
      </rPr>
      <t xml:space="preserve"> arrival</t>
    </r>
    <r>
      <rPr>
        <sz val="6"/>
        <rFont val="Arial"/>
        <family val="2"/>
        <charset val="1"/>
      </rPr>
      <t xml:space="preserve"> / departure</t>
    </r>
  </si>
  <si>
    <t xml:space="preserve">  4.   Nationality of Ship</t>
  </si>
  <si>
    <t xml:space="preserve">  5.   Port arrived from / Sailing to</t>
  </si>
  <si>
    <t>6.   Nature und No. 
        of identity documents</t>
  </si>
  <si>
    <t>/</t>
  </si>
  <si>
    <t xml:space="preserve">7.   No. </t>
  </si>
  <si>
    <t xml:space="preserve">  8.   Family names, given names</t>
  </si>
  <si>
    <t xml:space="preserve">  9.   Rank or rating</t>
  </si>
  <si>
    <t xml:space="preserve">  10.   Nationality</t>
  </si>
  <si>
    <t xml:space="preserve">  11.   Date and place of birth</t>
  </si>
  <si>
    <t xml:space="preserve">         </t>
  </si>
  <si>
    <t>Passport</t>
  </si>
  <si>
    <t>IMO Convention on Facilitation of International Maritime Traffic</t>
  </si>
  <si>
    <t xml:space="preserve"> </t>
  </si>
  <si>
    <t>IMO FAL
Form 5</t>
  </si>
  <si>
    <t xml:space="preserve">  12.  Date and signature by master, authorised agent or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</si>
</sst>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dd\.mm\.yy"/>
    <numFmt numFmtId="166" formatCode="m/d/yy;@"/>
    <numFmt numFmtId="167" formatCode="dd\.mm\.yyyy"/>
  </numFmts>
  <fonts count="16" x14ac:knownFonts="1">
    <font>
      <sz val="10"/>
      <name val="Arial"/>
      <charset val="1"/>
    </font>
    <font>
      <sz val="6"/>
      <name val="Arial"/>
      <family val="2"/>
      <charset val="1"/>
    </font>
    <font>
      <b/>
      <sz val="12"/>
      <name val="Arial"/>
      <family val="2"/>
      <charset val="1"/>
    </font>
    <font>
      <sz val="7"/>
      <name val="Arial"/>
      <family val="2"/>
      <charset val="1"/>
    </font>
    <font>
      <b/>
      <sz val="7"/>
      <name val="Arial"/>
      <family val="2"/>
      <charset val="1"/>
    </font>
    <font>
      <b/>
      <sz val="10"/>
      <name val="Arial"/>
      <family val="2"/>
      <charset val="1"/>
    </font>
    <font>
      <b/>
      <sz val="6"/>
      <name val="Arial"/>
      <family val="2"/>
      <charset val="1"/>
    </font>
    <font>
      <sz val="9"/>
      <name val="Arial"/>
      <family val="2"/>
      <charset val="1"/>
    </font>
    <font>
      <u/>
      <sz val="7"/>
      <name val="Arial"/>
      <family val="2"/>
      <charset val="1"/>
    </font>
    <font>
      <u/>
      <sz val="6"/>
      <name val="Arial"/>
      <family val="2"/>
      <charset val="1"/>
    </font>
    <font>
      <b/>
      <i/>
      <sz val="9"/>
      <name val="Bookman Old Style"/>
      <family val="1"/>
      <charset val="1"/>
    </font>
    <font>
      <b/>
      <i/>
      <sz val="12"/>
      <name val="Bookman Old Style"/>
      <family val="1"/>
      <charset val="1"/>
    </font>
    <font>
      <b/>
      <i/>
      <sz val="10"/>
      <name val="Bookman Old Style"/>
      <family val="1"/>
      <charset val="1"/>
    </font>
    <font>
      <sz val="10"/>
      <name val="Arial"/>
      <family val="2"/>
      <charset val="1"/>
    </font>
    <font>
      <b/>
      <i/>
      <sz val="10"/>
      <name val="Arial"/>
      <family val="2"/>
      <charset val="1"/>
    </font>
    <font>
      <sz val="5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 applyProtection="1">
      <alignment horizontal="center"/>
      <protection locked="0"/>
    </xf>
    <xf numFmtId="0" fontId="6" fillId="0" borderId="0" xfId="0" applyFont="1"/>
    <xf numFmtId="0" fontId="7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10" fillId="0" borderId="0" xfId="0" applyFont="1"/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shrinkToFit="1"/>
    </xf>
    <xf numFmtId="164" fontId="1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right" vertical="center"/>
    </xf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8" xfId="0" applyFont="1" applyBorder="1" applyAlignment="1">
      <alignment horizontal="left" vertical="top"/>
    </xf>
    <xf numFmtId="0" fontId="1" fillId="0" borderId="9" xfId="0" applyFont="1" applyBorder="1"/>
    <xf numFmtId="0" fontId="1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2" fillId="0" borderId="5" xfId="0" applyFont="1" applyBorder="1" applyAlignment="1">
      <alignment horizontal="center"/>
    </xf>
    <xf numFmtId="0" fontId="4" fillId="0" borderId="0" xfId="0" applyFont="1" applyAlignment="1">
      <alignment horizontal="center" textRotation="90"/>
    </xf>
    <xf numFmtId="0" fontId="0" fillId="0" borderId="10" xfId="0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165" fontId="13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49" fontId="13" fillId="0" borderId="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11" xfId="0" applyFont="1" applyBorder="1" applyAlignment="1">
      <alignment vertical="center" shrinkToFi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165" fontId="13" fillId="0" borderId="11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vertical="center" shrinkToFit="1"/>
    </xf>
    <xf numFmtId="49" fontId="13" fillId="0" borderId="1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166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shrinkToFit="1"/>
    </xf>
    <xf numFmtId="0" fontId="13" fillId="0" borderId="11" xfId="0" applyFont="1" applyBorder="1" applyAlignment="1">
      <alignment horizontal="center" shrinkToFit="1"/>
    </xf>
    <xf numFmtId="0" fontId="1" fillId="0" borderId="11" xfId="0" applyFont="1" applyBorder="1"/>
    <xf numFmtId="0" fontId="3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3" xfId="0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shrinkToFit="1"/>
    </xf>
    <xf numFmtId="0" fontId="4" fillId="0" borderId="0" xfId="0" applyFont="1"/>
    <xf numFmtId="0" fontId="3" fillId="0" borderId="9" xfId="0" applyFont="1" applyBorder="1" applyAlignment="1">
      <alignment horizontal="left" vertical="top"/>
    </xf>
    <xf numFmtId="167" fontId="13" fillId="0" borderId="0" xfId="0" applyNumberFormat="1" applyFont="1" applyAlignment="1">
      <alignment horizontal="center"/>
    </xf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left"/>
    </xf>
    <xf numFmtId="0" fontId="1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33</xdr:row>
      <xdr:rowOff>38100</xdr:rowOff>
    </xdr:from>
    <xdr:to>
      <xdr:col>37</xdr:col>
      <xdr:colOff>106235</xdr:colOff>
      <xdr:row>41</xdr:row>
      <xdr:rowOff>42585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3114E-CFBD-436C-9B20-84707C18A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9450" y="7934325"/>
          <a:ext cx="1506410" cy="13665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REW\DOCUMENT.xlsx" TargetMode="External"/><Relationship Id="rId1" Type="http://schemas.openxmlformats.org/officeDocument/2006/relationships/externalLinkPath" Target="file:///C:\CREW\DOCU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Port of Call List"/>
      <sheetName val="ISPS (POC Company Form)"/>
      <sheetName val="Crew Arr."/>
      <sheetName val="Crew Dep."/>
      <sheetName val="Crew Arr. (ALG)"/>
      <sheetName val="Crew Effects"/>
      <sheetName val="Ship's Stores"/>
      <sheetName val="PAX (A)"/>
      <sheetName val="PAX (D)"/>
      <sheetName val="NIL List"/>
      <sheetName val="Ship money"/>
      <sheetName val="MDH"/>
      <sheetName val="Narcotic List"/>
      <sheetName val="Crew Money"/>
      <sheetName val="Cash Adv."/>
      <sheetName val="Smokers"/>
      <sheetName val="Vaccination"/>
      <sheetName val="Crew Contact Nos."/>
    </sheetNames>
    <sheetDataSet>
      <sheetData sheetId="0">
        <row r="2">
          <cell r="D2" t="str">
            <v>HANNA</v>
          </cell>
        </row>
        <row r="4">
          <cell r="D4" t="str">
            <v>Cyprus</v>
          </cell>
        </row>
        <row r="6">
          <cell r="K6">
            <v>1</v>
          </cell>
          <cell r="L6" t="str">
            <v>ZHYKHARIEV, Dmytro</v>
          </cell>
          <cell r="M6" t="str">
            <v>Master</v>
          </cell>
          <cell r="N6" t="str">
            <v>Ukraine</v>
          </cell>
          <cell r="P6">
            <v>31731</v>
          </cell>
          <cell r="Q6" t="str">
            <v>Ukraine, Kherson</v>
          </cell>
          <cell r="S6" t="str">
            <v xml:space="preserve">FH557277 </v>
          </cell>
        </row>
        <row r="7">
          <cell r="K7">
            <v>2</v>
          </cell>
          <cell r="L7" t="str">
            <v>LAURENTE, Artemio Belza</v>
          </cell>
          <cell r="M7" t="str">
            <v>Ch.Off</v>
          </cell>
          <cell r="N7" t="str">
            <v>Philippines</v>
          </cell>
          <cell r="P7">
            <v>31920</v>
          </cell>
          <cell r="Q7" t="str">
            <v>Barugo, Leyte</v>
          </cell>
          <cell r="S7" t="str">
            <v>P3901669B</v>
          </cell>
        </row>
        <row r="8">
          <cell r="D8">
            <v>46167</v>
          </cell>
          <cell r="K8">
            <v>3</v>
          </cell>
          <cell r="L8" t="str">
            <v>MAKAR, Maksym</v>
          </cell>
          <cell r="M8" t="str">
            <v>2nd Off</v>
          </cell>
          <cell r="N8" t="str">
            <v>Ukraine</v>
          </cell>
          <cell r="P8">
            <v>33186</v>
          </cell>
          <cell r="Q8" t="str">
            <v>Ukraine, Odessa</v>
          </cell>
          <cell r="S8" t="str">
            <v>FK832567</v>
          </cell>
        </row>
        <row r="9">
          <cell r="K9">
            <v>4</v>
          </cell>
          <cell r="L9" t="str">
            <v>ZADOROZHNY, Sergiy</v>
          </cell>
          <cell r="M9" t="str">
            <v>Ch.Eng</v>
          </cell>
          <cell r="N9" t="str">
            <v>Ukraine</v>
          </cell>
          <cell r="P9">
            <v>21788</v>
          </cell>
          <cell r="Q9" t="str">
            <v>Ukraine, Odessa</v>
          </cell>
          <cell r="S9" t="str">
            <v>FU050737</v>
          </cell>
        </row>
        <row r="10">
          <cell r="K10">
            <v>5</v>
          </cell>
          <cell r="L10" t="str">
            <v>HONCHAR, Yurii</v>
          </cell>
          <cell r="M10" t="str">
            <v>2nd Eng</v>
          </cell>
          <cell r="N10" t="str">
            <v>Ukraine</v>
          </cell>
          <cell r="P10">
            <v>31151</v>
          </cell>
          <cell r="Q10" t="str">
            <v>Ukraine</v>
          </cell>
          <cell r="S10" t="str">
            <v>GJ014077</v>
          </cell>
        </row>
        <row r="11">
          <cell r="K11">
            <v>6</v>
          </cell>
          <cell r="L11" t="str">
            <v>CORCINO, Renand Aparece</v>
          </cell>
          <cell r="M11" t="str">
            <v>A/B</v>
          </cell>
          <cell r="N11" t="str">
            <v>Philippines</v>
          </cell>
          <cell r="P11">
            <v>33807</v>
          </cell>
          <cell r="Q11" t="str">
            <v>Inabanga, Bohol</v>
          </cell>
          <cell r="S11" t="str">
            <v>P3970180B</v>
          </cell>
        </row>
        <row r="12">
          <cell r="D12" t="str">
            <v>Napoli</v>
          </cell>
          <cell r="K12">
            <v>7</v>
          </cell>
          <cell r="L12" t="str">
            <v>BANEZ, John Kenneth Rebundas</v>
          </cell>
          <cell r="M12" t="str">
            <v>O/S</v>
          </cell>
          <cell r="N12" t="str">
            <v>Philippines</v>
          </cell>
          <cell r="P12">
            <v>36429</v>
          </cell>
          <cell r="Q12" t="str">
            <v>Malolos, Bulacan</v>
          </cell>
          <cell r="S12" t="str">
            <v>P1370110C</v>
          </cell>
        </row>
        <row r="13">
          <cell r="K13">
            <v>8</v>
          </cell>
          <cell r="L13" t="str">
            <v>PERNIA, James Malitao</v>
          </cell>
          <cell r="M13" t="str">
            <v>O/S</v>
          </cell>
          <cell r="N13" t="str">
            <v>Philippines</v>
          </cell>
          <cell r="P13">
            <v>36100</v>
          </cell>
          <cell r="Q13" t="str">
            <v>Buenavista, Marinduque</v>
          </cell>
          <cell r="S13" t="str">
            <v>P7743571B</v>
          </cell>
        </row>
        <row r="14">
          <cell r="D14" t="str">
            <v>Alger</v>
          </cell>
          <cell r="K14">
            <v>9</v>
          </cell>
          <cell r="L14" t="str">
            <v>CANTOS, Philip Justin Perez</v>
          </cell>
          <cell r="M14" t="str">
            <v>O/S</v>
          </cell>
          <cell r="N14" t="str">
            <v>Philippines</v>
          </cell>
          <cell r="P14">
            <v>36743</v>
          </cell>
          <cell r="Q14" t="str">
            <v>Batangas City</v>
          </cell>
          <cell r="S14" t="str">
            <v>P5075641C</v>
          </cell>
        </row>
        <row r="15">
          <cell r="K15">
            <v>10</v>
          </cell>
          <cell r="L15" t="str">
            <v>ROMULO, Roland Bong Rosal</v>
          </cell>
          <cell r="M15" t="str">
            <v>O/S</v>
          </cell>
          <cell r="N15" t="str">
            <v>Philippines</v>
          </cell>
          <cell r="P15">
            <v>36517</v>
          </cell>
          <cell r="Q15" t="str">
            <v>Manila</v>
          </cell>
          <cell r="S15" t="str">
            <v>P7652618B</v>
          </cell>
        </row>
        <row r="16">
          <cell r="D16" t="str">
            <v>La Spezia</v>
          </cell>
          <cell r="K16">
            <v>11</v>
          </cell>
          <cell r="L16" t="str">
            <v>MATALUBOS, Gerald Maniapao</v>
          </cell>
          <cell r="M16" t="str">
            <v>Wiper</v>
          </cell>
          <cell r="N16" t="str">
            <v>Philippines</v>
          </cell>
          <cell r="P16">
            <v>36614</v>
          </cell>
          <cell r="Q16" t="str">
            <v>Navotas, Metro Manila</v>
          </cell>
          <cell r="S16" t="str">
            <v>P0009456C</v>
          </cell>
        </row>
        <row r="17">
          <cell r="K17">
            <v>12</v>
          </cell>
          <cell r="L17" t="str">
            <v>BERNABE, Brian Malaluan</v>
          </cell>
          <cell r="M17" t="str">
            <v>Cook</v>
          </cell>
          <cell r="N17" t="str">
            <v>Philippines</v>
          </cell>
          <cell r="P17">
            <v>31894</v>
          </cell>
          <cell r="Q17" t="str">
            <v>Koronadal So. Cot.</v>
          </cell>
          <cell r="S17" t="str">
            <v>P8802413B</v>
          </cell>
        </row>
        <row r="18">
          <cell r="K18">
            <v>13</v>
          </cell>
          <cell r="L18" t="str">
            <v>SISON, Jan Randell Rollo</v>
          </cell>
          <cell r="M18" t="str">
            <v>Dcad</v>
          </cell>
          <cell r="N18" t="str">
            <v>Philippines</v>
          </cell>
          <cell r="P18">
            <v>37407</v>
          </cell>
          <cell r="Q18" t="str">
            <v>Alaminos City</v>
          </cell>
          <cell r="S18" t="str">
            <v>P5175257C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EFD4-0565-4FEE-BCFA-F2B555891B47}">
  <sheetPr>
    <tabColor theme="4" tint="0.39997558519241921"/>
  </sheetPr>
  <dimension ref="A1:AMJ50"/>
  <sheetViews>
    <sheetView showGridLines="0" tabSelected="1" view="pageBreakPreview" workbookViewId="0">
      <selection activeCell="J16" sqref="J16"/>
    </sheetView>
  </sheetViews>
  <sheetFormatPr defaultColWidth="3" defaultRowHeight="12.75" x14ac:dyDescent="0.2"/>
  <cols>
    <col min="1" max="1" width="6.5703125" style="1" customWidth="1"/>
    <col min="2" max="2" width="4" style="1" customWidth="1"/>
    <col min="3" max="3" width="30.7109375" style="1" customWidth="1"/>
    <col min="4" max="4" width="10.42578125" style="1" customWidth="1"/>
    <col min="5" max="5" width="2.28515625" style="1" customWidth="1"/>
    <col min="6" max="6" width="7.42578125" style="1" customWidth="1"/>
    <col min="7" max="7" width="8.85546875" style="1" customWidth="1"/>
    <col min="8" max="8" width="2.140625" style="1" customWidth="1"/>
    <col min="9" max="9" width="16" style="1" customWidth="1"/>
    <col min="10" max="10" width="14.140625" style="1" customWidth="1"/>
    <col min="11" max="1024" width="3" style="1"/>
  </cols>
  <sheetData>
    <row r="1" spans="1:16" ht="15.75" x14ac:dyDescent="0.25">
      <c r="B1" s="2" t="s">
        <v>0</v>
      </c>
      <c r="C1" s="2"/>
      <c r="D1" s="2"/>
      <c r="E1" s="2"/>
      <c r="F1" s="2"/>
      <c r="G1" s="2"/>
      <c r="H1" s="2"/>
      <c r="I1" s="2"/>
      <c r="J1" s="2"/>
    </row>
    <row r="3" spans="1:16" s="3" customFormat="1" ht="9.75" customHeight="1" x14ac:dyDescent="0.2">
      <c r="I3" s="4"/>
      <c r="J3" s="5" t="s">
        <v>1</v>
      </c>
    </row>
    <row r="4" spans="1:16" s="1" customFormat="1" ht="10.5" customHeight="1" x14ac:dyDescent="0.2">
      <c r="E4" s="6" t="s">
        <v>2</v>
      </c>
      <c r="F4" s="7" t="s">
        <v>3</v>
      </c>
      <c r="H4" s="6"/>
      <c r="I4" s="7" t="s">
        <v>4</v>
      </c>
      <c r="J4" s="8">
        <v>1</v>
      </c>
    </row>
    <row r="5" spans="1:16" s="1" customFormat="1" ht="8.25" customHeight="1" x14ac:dyDescent="0.15">
      <c r="B5" s="9" t="s">
        <v>5</v>
      </c>
      <c r="C5" s="9"/>
      <c r="D5" s="9"/>
      <c r="E5" s="10" t="s">
        <v>6</v>
      </c>
      <c r="F5" s="10"/>
      <c r="G5" s="10"/>
      <c r="H5" s="11" t="s">
        <v>7</v>
      </c>
      <c r="I5" s="11"/>
      <c r="J5" s="11"/>
    </row>
    <row r="6" spans="1:16" s="12" customFormat="1" ht="15" customHeight="1" x14ac:dyDescent="0.2">
      <c r="B6" s="13" t="str">
        <f>[1]Input!D2</f>
        <v>HANNA</v>
      </c>
      <c r="C6" s="13"/>
      <c r="D6" s="13"/>
      <c r="E6" s="14" t="str">
        <f>[1]Input!D12</f>
        <v>Napoli</v>
      </c>
      <c r="F6" s="14"/>
      <c r="G6" s="14"/>
      <c r="H6" s="15">
        <f>[1]Input!D8</f>
        <v>46167</v>
      </c>
      <c r="I6" s="15"/>
      <c r="J6" s="15"/>
    </row>
    <row r="7" spans="1:16" s="1" customFormat="1" ht="12.75" customHeight="1" x14ac:dyDescent="0.15">
      <c r="B7" s="9" t="s">
        <v>8</v>
      </c>
      <c r="C7" s="9"/>
      <c r="D7" s="9"/>
      <c r="E7" s="9" t="s">
        <v>9</v>
      </c>
      <c r="F7" s="9"/>
      <c r="G7" s="9"/>
      <c r="H7" s="9"/>
      <c r="I7" s="9"/>
      <c r="J7" s="16" t="s">
        <v>10</v>
      </c>
    </row>
    <row r="8" spans="1:16" s="1" customFormat="1" ht="15" customHeight="1" x14ac:dyDescent="0.15">
      <c r="B8" s="13" t="str">
        <f>[1]Input!D4</f>
        <v>Cyprus</v>
      </c>
      <c r="C8" s="13"/>
      <c r="D8" s="13"/>
      <c r="E8" s="17" t="str">
        <f>[1]Input!D14</f>
        <v>Alger</v>
      </c>
      <c r="F8" s="17"/>
      <c r="G8" s="17"/>
      <c r="H8" s="18" t="s">
        <v>11</v>
      </c>
      <c r="I8" s="19" t="str">
        <f>[1]Input!D16</f>
        <v>La Spezia</v>
      </c>
      <c r="J8" s="16"/>
      <c r="K8" s="20"/>
    </row>
    <row r="9" spans="1:16" s="1" customFormat="1" ht="8.25" customHeight="1" x14ac:dyDescent="0.15">
      <c r="B9" s="21" t="s">
        <v>12</v>
      </c>
      <c r="C9" s="22" t="s">
        <v>13</v>
      </c>
      <c r="D9" s="22" t="s">
        <v>14</v>
      </c>
      <c r="E9" s="23" t="s">
        <v>15</v>
      </c>
      <c r="F9" s="23"/>
      <c r="G9" s="23" t="s">
        <v>16</v>
      </c>
      <c r="H9" s="23"/>
      <c r="I9" s="23"/>
      <c r="J9" s="24" t="s">
        <v>17</v>
      </c>
    </row>
    <row r="10" spans="1:16" s="1" customFormat="1" ht="10.5" customHeight="1" x14ac:dyDescent="0.2">
      <c r="B10" s="21"/>
      <c r="C10" s="25"/>
      <c r="D10" s="25"/>
      <c r="E10" s="26"/>
      <c r="F10" s="26"/>
      <c r="G10" s="27"/>
      <c r="H10" s="28"/>
      <c r="I10" s="28"/>
      <c r="J10" s="29" t="s">
        <v>18</v>
      </c>
    </row>
    <row r="11" spans="1:16" ht="25.5" customHeight="1" x14ac:dyDescent="0.2">
      <c r="A11" s="30" t="s">
        <v>19</v>
      </c>
      <c r="B11" s="31">
        <f>[1]Input!K6</f>
        <v>1</v>
      </c>
      <c r="C11" s="32" t="str">
        <f>+[1]Input!L6</f>
        <v>ZHYKHARIEV, Dmytro</v>
      </c>
      <c r="D11" s="33" t="str">
        <f>[1]Input!M6</f>
        <v>Master</v>
      </c>
      <c r="E11" s="34" t="str">
        <f>[1]Input!N6</f>
        <v>Ukraine</v>
      </c>
      <c r="F11" s="34"/>
      <c r="G11" s="35">
        <f>+[1]Input!P6</f>
        <v>31731</v>
      </c>
      <c r="H11" s="36" t="str">
        <f>+[1]Input!Q6</f>
        <v>Ukraine, Kherson</v>
      </c>
      <c r="I11" s="36"/>
      <c r="J11" s="37" t="str">
        <f>[1]Input!S6</f>
        <v xml:space="preserve">FH557277 </v>
      </c>
    </row>
    <row r="12" spans="1:16" ht="25.5" customHeight="1" x14ac:dyDescent="0.2">
      <c r="A12" s="30"/>
      <c r="B12" s="38">
        <f>[1]Input!K7</f>
        <v>2</v>
      </c>
      <c r="C12" s="39" t="str">
        <f>[1]Input!L7</f>
        <v>LAURENTE, Artemio Belza</v>
      </c>
      <c r="D12" s="40" t="str">
        <f>[1]Input!M7</f>
        <v>Ch.Off</v>
      </c>
      <c r="E12" s="41" t="str">
        <f>[1]Input!N7</f>
        <v>Philippines</v>
      </c>
      <c r="F12" s="41"/>
      <c r="G12" s="42">
        <f>[1]Input!P7</f>
        <v>31920</v>
      </c>
      <c r="H12" s="43" t="str">
        <f>[1]Input!Q7</f>
        <v>Barugo, Leyte</v>
      </c>
      <c r="I12" s="43"/>
      <c r="J12" s="44" t="str">
        <f>[1]Input!S7</f>
        <v>P3901669B</v>
      </c>
    </row>
    <row r="13" spans="1:16" ht="25.5" customHeight="1" x14ac:dyDescent="0.2">
      <c r="A13" s="30"/>
      <c r="B13" s="38">
        <f>[1]Input!K8</f>
        <v>3</v>
      </c>
      <c r="C13" s="39" t="str">
        <f>[1]Input!L8</f>
        <v>MAKAR, Maksym</v>
      </c>
      <c r="D13" s="40" t="str">
        <f>[1]Input!M8</f>
        <v>2nd Off</v>
      </c>
      <c r="E13" s="41" t="str">
        <f>[1]Input!N8</f>
        <v>Ukraine</v>
      </c>
      <c r="F13" s="41"/>
      <c r="G13" s="42">
        <f>[1]Input!P8</f>
        <v>33186</v>
      </c>
      <c r="H13" s="43" t="str">
        <f>[1]Input!Q8</f>
        <v>Ukraine, Odessa</v>
      </c>
      <c r="I13" s="43"/>
      <c r="J13" s="44" t="str">
        <f>[1]Input!S8</f>
        <v>FK832567</v>
      </c>
      <c r="P13" s="1" t="s">
        <v>20</v>
      </c>
    </row>
    <row r="14" spans="1:16" ht="25.5" customHeight="1" x14ac:dyDescent="0.2">
      <c r="A14" s="30"/>
      <c r="B14" s="38">
        <f>[1]Input!K9</f>
        <v>4</v>
      </c>
      <c r="C14" s="39" t="str">
        <f>[1]Input!L9</f>
        <v>ZADOROZHNY, Sergiy</v>
      </c>
      <c r="D14" s="40" t="str">
        <f>[1]Input!M9</f>
        <v>Ch.Eng</v>
      </c>
      <c r="E14" s="41" t="str">
        <f>[1]Input!N9</f>
        <v>Ukraine</v>
      </c>
      <c r="F14" s="41"/>
      <c r="G14" s="42">
        <f>[1]Input!P9</f>
        <v>21788</v>
      </c>
      <c r="H14" s="43" t="str">
        <f>[1]Input!Q9</f>
        <v>Ukraine, Odessa</v>
      </c>
      <c r="I14" s="43"/>
      <c r="J14" s="44" t="str">
        <f>[1]Input!S9</f>
        <v>FU050737</v>
      </c>
      <c r="K14" s="45"/>
      <c r="M14" s="1" t="s">
        <v>20</v>
      </c>
    </row>
    <row r="15" spans="1:16" ht="25.5" customHeight="1" x14ac:dyDescent="0.2">
      <c r="A15" s="30"/>
      <c r="B15" s="38">
        <f>[1]Input!K10</f>
        <v>5</v>
      </c>
      <c r="C15" s="39" t="str">
        <f>[1]Input!L10</f>
        <v>HONCHAR, Yurii</v>
      </c>
      <c r="D15" s="40" t="str">
        <f>[1]Input!M10</f>
        <v>2nd Eng</v>
      </c>
      <c r="E15" s="41" t="str">
        <f>[1]Input!N10</f>
        <v>Ukraine</v>
      </c>
      <c r="F15" s="41"/>
      <c r="G15" s="42">
        <f>[1]Input!P10</f>
        <v>31151</v>
      </c>
      <c r="H15" s="43" t="str">
        <f>[1]Input!Q10</f>
        <v>Ukraine</v>
      </c>
      <c r="I15" s="43"/>
      <c r="J15" s="44" t="str">
        <f>[1]Input!S10</f>
        <v>GJ014077</v>
      </c>
      <c r="K15" s="45"/>
    </row>
    <row r="16" spans="1:16" ht="25.5" customHeight="1" x14ac:dyDescent="0.2">
      <c r="A16" s="30"/>
      <c r="B16" s="38">
        <f>[1]Input!K11</f>
        <v>6</v>
      </c>
      <c r="C16" s="39" t="str">
        <f>[1]Input!L11</f>
        <v>CORCINO, Renand Aparece</v>
      </c>
      <c r="D16" s="40" t="str">
        <f>[1]Input!M11</f>
        <v>A/B</v>
      </c>
      <c r="E16" s="41" t="str">
        <f>[1]Input!N11</f>
        <v>Philippines</v>
      </c>
      <c r="F16" s="41"/>
      <c r="G16" s="42">
        <f>[1]Input!P11</f>
        <v>33807</v>
      </c>
      <c r="H16" s="43" t="str">
        <f>[1]Input!Q11</f>
        <v>Inabanga, Bohol</v>
      </c>
      <c r="I16" s="43"/>
      <c r="J16" s="44" t="str">
        <f>[1]Input!S11</f>
        <v>P3970180B</v>
      </c>
    </row>
    <row r="17" spans="1:11" ht="25.5" customHeight="1" x14ac:dyDescent="0.2">
      <c r="A17" s="30"/>
      <c r="B17" s="38">
        <f>[1]Input!K12</f>
        <v>7</v>
      </c>
      <c r="C17" s="39" t="str">
        <f>[1]Input!L12</f>
        <v>BANEZ, John Kenneth Rebundas</v>
      </c>
      <c r="D17" s="40" t="str">
        <f>[1]Input!M12</f>
        <v>O/S</v>
      </c>
      <c r="E17" s="41" t="str">
        <f>[1]Input!N12</f>
        <v>Philippines</v>
      </c>
      <c r="F17" s="41"/>
      <c r="G17" s="42">
        <f>[1]Input!P12</f>
        <v>36429</v>
      </c>
      <c r="H17" s="43" t="str">
        <f>[1]Input!Q12</f>
        <v>Malolos, Bulacan</v>
      </c>
      <c r="I17" s="43"/>
      <c r="J17" s="44" t="str">
        <f>[1]Input!S12</f>
        <v>P1370110C</v>
      </c>
    </row>
    <row r="18" spans="1:11" ht="25.5" customHeight="1" x14ac:dyDescent="0.2">
      <c r="A18" s="30"/>
      <c r="B18" s="38">
        <f>[1]Input!K13</f>
        <v>8</v>
      </c>
      <c r="C18" s="39" t="str">
        <f>[1]Input!L13</f>
        <v>PERNIA, James Malitao</v>
      </c>
      <c r="D18" s="40" t="str">
        <f>[1]Input!M13</f>
        <v>O/S</v>
      </c>
      <c r="E18" s="41" t="str">
        <f>[1]Input!N13</f>
        <v>Philippines</v>
      </c>
      <c r="F18" s="41"/>
      <c r="G18" s="42">
        <f>[1]Input!P13</f>
        <v>36100</v>
      </c>
      <c r="H18" s="43" t="str">
        <f>[1]Input!Q13</f>
        <v>Buenavista, Marinduque</v>
      </c>
      <c r="I18" s="43"/>
      <c r="J18" s="44" t="str">
        <f>[1]Input!S13</f>
        <v>P7743571B</v>
      </c>
    </row>
    <row r="19" spans="1:11" ht="25.5" customHeight="1" x14ac:dyDescent="0.2">
      <c r="A19" s="30"/>
      <c r="B19" s="38">
        <f>[1]Input!K14</f>
        <v>9</v>
      </c>
      <c r="C19" s="39" t="str">
        <f>[1]Input!L14</f>
        <v>CANTOS, Philip Justin Perez</v>
      </c>
      <c r="D19" s="40" t="str">
        <f>[1]Input!M14</f>
        <v>O/S</v>
      </c>
      <c r="E19" s="41" t="str">
        <f>[1]Input!N14</f>
        <v>Philippines</v>
      </c>
      <c r="F19" s="41"/>
      <c r="G19" s="42">
        <f>[1]Input!P14</f>
        <v>36743</v>
      </c>
      <c r="H19" s="43" t="str">
        <f>[1]Input!Q14</f>
        <v>Batangas City</v>
      </c>
      <c r="I19" s="43"/>
      <c r="J19" s="44" t="str">
        <f>[1]Input!S14</f>
        <v>P5075641C</v>
      </c>
    </row>
    <row r="20" spans="1:11" ht="25.5" customHeight="1" x14ac:dyDescent="0.2">
      <c r="A20" s="30"/>
      <c r="B20" s="38">
        <f>[1]Input!K15</f>
        <v>10</v>
      </c>
      <c r="C20" s="39" t="str">
        <f>[1]Input!L15</f>
        <v>ROMULO, Roland Bong Rosal</v>
      </c>
      <c r="D20" s="40" t="str">
        <f>[1]Input!M15</f>
        <v>O/S</v>
      </c>
      <c r="E20" s="41" t="str">
        <f>[1]Input!N15</f>
        <v>Philippines</v>
      </c>
      <c r="F20" s="41"/>
      <c r="G20" s="42">
        <f>[1]Input!P15</f>
        <v>36517</v>
      </c>
      <c r="H20" s="43" t="str">
        <f>[1]Input!Q15</f>
        <v>Manila</v>
      </c>
      <c r="I20" s="43"/>
      <c r="J20" s="44" t="str">
        <f>[1]Input!S15</f>
        <v>P7652618B</v>
      </c>
    </row>
    <row r="21" spans="1:11" ht="25.5" customHeight="1" x14ac:dyDescent="0.2">
      <c r="A21" s="30"/>
      <c r="B21" s="38">
        <f>[1]Input!K16</f>
        <v>11</v>
      </c>
      <c r="C21" s="39" t="str">
        <f>[1]Input!L16</f>
        <v>MATALUBOS, Gerald Maniapao</v>
      </c>
      <c r="D21" s="40" t="str">
        <f>[1]Input!M16</f>
        <v>Wiper</v>
      </c>
      <c r="E21" s="41" t="str">
        <f>[1]Input!N16</f>
        <v>Philippines</v>
      </c>
      <c r="F21" s="41"/>
      <c r="G21" s="42">
        <f>[1]Input!P16</f>
        <v>36614</v>
      </c>
      <c r="H21" s="43" t="str">
        <f>[1]Input!Q16</f>
        <v>Navotas, Metro Manila</v>
      </c>
      <c r="I21" s="43"/>
      <c r="J21" s="44" t="str">
        <f>[1]Input!S16</f>
        <v>P0009456C</v>
      </c>
      <c r="K21" s="20"/>
    </row>
    <row r="22" spans="1:11" ht="25.5" customHeight="1" x14ac:dyDescent="0.2">
      <c r="A22" s="30"/>
      <c r="B22" s="38">
        <f>[1]Input!K17</f>
        <v>12</v>
      </c>
      <c r="C22" s="39" t="str">
        <f>[1]Input!L17</f>
        <v>BERNABE, Brian Malaluan</v>
      </c>
      <c r="D22" s="40" t="str">
        <f>[1]Input!M17</f>
        <v>Cook</v>
      </c>
      <c r="E22" s="41" t="str">
        <f>[1]Input!N17</f>
        <v>Philippines</v>
      </c>
      <c r="F22" s="41"/>
      <c r="G22" s="42">
        <f>[1]Input!P17</f>
        <v>31894</v>
      </c>
      <c r="H22" s="43" t="str">
        <f>[1]Input!Q17</f>
        <v>Koronadal So. Cot.</v>
      </c>
      <c r="I22" s="43"/>
      <c r="J22" s="44" t="str">
        <f>[1]Input!S17</f>
        <v>P8802413B</v>
      </c>
    </row>
    <row r="23" spans="1:11" ht="19.5" customHeight="1" x14ac:dyDescent="0.2">
      <c r="A23" s="30"/>
      <c r="B23" s="38">
        <f>[1]Input!K18</f>
        <v>13</v>
      </c>
      <c r="C23" s="39" t="str">
        <f>[1]Input!L18</f>
        <v>SISON, Jan Randell Rollo</v>
      </c>
      <c r="D23" s="40" t="str">
        <f>[1]Input!M18</f>
        <v>Dcad</v>
      </c>
      <c r="E23" s="41" t="str">
        <f>[1]Input!N18</f>
        <v>Philippines</v>
      </c>
      <c r="F23" s="41"/>
      <c r="G23" s="42">
        <f>[1]Input!P18</f>
        <v>37407</v>
      </c>
      <c r="H23" s="43" t="str">
        <f>[1]Input!Q18</f>
        <v>Alaminos City</v>
      </c>
      <c r="I23" s="43"/>
      <c r="J23" s="44" t="str">
        <f>[1]Input!S18</f>
        <v>P5175257C</v>
      </c>
    </row>
    <row r="24" spans="1:11" ht="21.75" customHeight="1" x14ac:dyDescent="0.2">
      <c r="A24" s="30"/>
      <c r="B24" s="38"/>
      <c r="C24" s="46"/>
      <c r="D24" s="40"/>
      <c r="E24" s="47"/>
      <c r="F24" s="47"/>
      <c r="G24" s="42"/>
      <c r="H24" s="43"/>
      <c r="I24" s="43"/>
      <c r="J24" s="48"/>
      <c r="K24" s="20"/>
    </row>
    <row r="25" spans="1:11" ht="19.5" customHeight="1" x14ac:dyDescent="0.2">
      <c r="A25" s="30"/>
      <c r="B25" s="49"/>
      <c r="C25" s="50"/>
      <c r="D25" s="49"/>
      <c r="E25" s="51"/>
      <c r="F25" s="51"/>
      <c r="G25" s="52"/>
      <c r="H25" s="53"/>
      <c r="I25" s="53"/>
      <c r="J25" s="54"/>
    </row>
    <row r="26" spans="1:11" ht="19.5" customHeight="1" x14ac:dyDescent="0.2">
      <c r="A26" s="30"/>
      <c r="B26" s="49"/>
      <c r="C26" s="50"/>
      <c r="D26" s="49"/>
      <c r="E26" s="51"/>
      <c r="F26" s="51"/>
      <c r="G26" s="52"/>
      <c r="H26" s="53"/>
      <c r="I26" s="53"/>
      <c r="J26" s="54"/>
    </row>
    <row r="27" spans="1:11" ht="19.5" customHeight="1" x14ac:dyDescent="0.2">
      <c r="B27" s="49"/>
      <c r="C27" s="50"/>
      <c r="D27" s="49"/>
      <c r="E27" s="51"/>
      <c r="F27" s="51"/>
      <c r="G27" s="52"/>
      <c r="H27" s="53"/>
      <c r="I27" s="53"/>
      <c r="J27" s="54"/>
    </row>
    <row r="28" spans="1:11" ht="19.5" customHeight="1" x14ac:dyDescent="0.2">
      <c r="B28" s="49"/>
      <c r="C28" s="50"/>
      <c r="D28" s="49"/>
      <c r="E28" s="51"/>
      <c r="F28" s="51"/>
      <c r="G28" s="52"/>
      <c r="H28" s="53"/>
      <c r="I28" s="53"/>
      <c r="J28" s="54"/>
    </row>
    <row r="29" spans="1:11" ht="19.5" customHeight="1" x14ac:dyDescent="0.2">
      <c r="B29" s="49"/>
      <c r="C29" s="50"/>
      <c r="D29" s="49"/>
      <c r="E29" s="51"/>
      <c r="F29" s="51"/>
      <c r="G29" s="52"/>
      <c r="H29" s="53"/>
      <c r="I29" s="53"/>
      <c r="J29" s="54"/>
    </row>
    <row r="30" spans="1:11" ht="19.5" customHeight="1" x14ac:dyDescent="0.2">
      <c r="B30" s="49"/>
      <c r="C30" s="50"/>
      <c r="D30" s="49"/>
      <c r="E30" s="51"/>
      <c r="F30" s="51"/>
      <c r="G30" s="52"/>
      <c r="H30" s="53"/>
      <c r="I30" s="53"/>
      <c r="J30" s="54"/>
    </row>
    <row r="31" spans="1:11" ht="19.5" customHeight="1" x14ac:dyDescent="0.2">
      <c r="B31" s="49"/>
      <c r="C31" s="55"/>
      <c r="D31" s="55"/>
      <c r="E31" s="51"/>
      <c r="F31" s="51"/>
      <c r="G31" s="55"/>
      <c r="H31" s="53"/>
      <c r="I31" s="53"/>
      <c r="J31" s="55"/>
    </row>
    <row r="32" spans="1:11" ht="19.5" customHeight="1" x14ac:dyDescent="0.2">
      <c r="B32" s="49"/>
      <c r="C32" s="55"/>
      <c r="D32" s="55"/>
      <c r="E32" s="51"/>
      <c r="F32" s="51"/>
      <c r="G32" s="55"/>
      <c r="H32" s="53"/>
      <c r="I32" s="53"/>
      <c r="J32" s="55"/>
    </row>
    <row r="33" spans="1:10" ht="19.5" hidden="1" customHeight="1" x14ac:dyDescent="0.2">
      <c r="B33" s="49"/>
      <c r="C33" s="55"/>
      <c r="D33" s="55"/>
      <c r="E33" s="51"/>
      <c r="F33" s="51"/>
      <c r="G33" s="55"/>
      <c r="H33" s="53"/>
      <c r="I33" s="53"/>
      <c r="J33" s="55"/>
    </row>
    <row r="34" spans="1:10" ht="18.75" customHeight="1" x14ac:dyDescent="0.2">
      <c r="A34" s="56" t="s">
        <v>21</v>
      </c>
      <c r="B34" s="57"/>
      <c r="C34" s="58"/>
      <c r="D34" s="58"/>
      <c r="E34" s="59"/>
      <c r="F34" s="59"/>
      <c r="G34" s="58"/>
      <c r="H34" s="60"/>
      <c r="I34" s="60"/>
      <c r="J34" s="58"/>
    </row>
    <row r="35" spans="1:10" ht="12.75" customHeight="1" x14ac:dyDescent="0.2">
      <c r="A35" s="61"/>
      <c r="B35" s="62" t="s">
        <v>22</v>
      </c>
      <c r="C35" s="3"/>
    </row>
    <row r="36" spans="1:10" ht="12" customHeight="1" x14ac:dyDescent="0.2">
      <c r="C36" s="63"/>
      <c r="D36" s="64"/>
      <c r="F36" s="65"/>
      <c r="G36" s="65"/>
    </row>
    <row r="37" spans="1:10" x14ac:dyDescent="0.2">
      <c r="D37" s="3"/>
    </row>
    <row r="40" spans="1:10" x14ac:dyDescent="0.2">
      <c r="I40" s="66"/>
    </row>
    <row r="44" spans="1:10" x14ac:dyDescent="0.2">
      <c r="E44" s="67"/>
    </row>
    <row r="47" spans="1:10" x14ac:dyDescent="0.2">
      <c r="D47" s="3"/>
    </row>
    <row r="48" spans="1:10" x14ac:dyDescent="0.2">
      <c r="A48" s="61"/>
    </row>
    <row r="50" hidden="1" x14ac:dyDescent="0.2"/>
  </sheetData>
  <mergeCells count="66">
    <mergeCell ref="E34:F34"/>
    <mergeCell ref="H34:I34"/>
    <mergeCell ref="E31:F31"/>
    <mergeCell ref="H31:I31"/>
    <mergeCell ref="E32:F32"/>
    <mergeCell ref="H32:I32"/>
    <mergeCell ref="E33:F33"/>
    <mergeCell ref="H33:I33"/>
    <mergeCell ref="E28:F28"/>
    <mergeCell ref="H28:I28"/>
    <mergeCell ref="E29:F29"/>
    <mergeCell ref="H29:I29"/>
    <mergeCell ref="E30:F30"/>
    <mergeCell ref="H30:I30"/>
    <mergeCell ref="E25:F25"/>
    <mergeCell ref="H25:I25"/>
    <mergeCell ref="E26:F26"/>
    <mergeCell ref="H26:I26"/>
    <mergeCell ref="E27:F27"/>
    <mergeCell ref="H27:I27"/>
    <mergeCell ref="E22:F22"/>
    <mergeCell ref="H22:I22"/>
    <mergeCell ref="E23:F23"/>
    <mergeCell ref="H23:I23"/>
    <mergeCell ref="E24:F24"/>
    <mergeCell ref="H24:I24"/>
    <mergeCell ref="E19:F19"/>
    <mergeCell ref="H19:I19"/>
    <mergeCell ref="E20:F20"/>
    <mergeCell ref="H20:I20"/>
    <mergeCell ref="E21:F21"/>
    <mergeCell ref="H21:I21"/>
    <mergeCell ref="H15:I15"/>
    <mergeCell ref="E16:F16"/>
    <mergeCell ref="H16:I16"/>
    <mergeCell ref="E17:F17"/>
    <mergeCell ref="H17:I17"/>
    <mergeCell ref="E18:F18"/>
    <mergeCell ref="H18:I18"/>
    <mergeCell ref="A11:A26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B7:D7"/>
    <mergeCell ref="E7:I7"/>
    <mergeCell ref="J7:J8"/>
    <mergeCell ref="B8:D8"/>
    <mergeCell ref="E8:G8"/>
    <mergeCell ref="B9:B10"/>
    <mergeCell ref="E9:F9"/>
    <mergeCell ref="G9:I9"/>
    <mergeCell ref="E10:F10"/>
    <mergeCell ref="H10:I10"/>
    <mergeCell ref="B1:J1"/>
    <mergeCell ref="B5:D5"/>
    <mergeCell ref="E5:G5"/>
    <mergeCell ref="H5:J5"/>
    <mergeCell ref="B6:D6"/>
    <mergeCell ref="E6:G6"/>
    <mergeCell ref="H6:J6"/>
  </mergeCells>
  <printOptions horizontalCentered="1"/>
  <pageMargins left="0.59027777777777801" right="0.39374999999999999" top="0.78749999999999998" bottom="0.39374999999999999" header="0.511811023622047" footer="0.511811023622047"/>
  <pageSetup paperSize="9" scale="9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Crew Arr.</vt:lpstr>
      <vt:lpstr>'Crew Arr.'!Область_печати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 MAKAR</dc:creator>
  <cp:lastModifiedBy>MAKSYM MAKAR</cp:lastModifiedBy>
  <dcterms:created xsi:type="dcterms:W3CDTF">2026-05-31T12:42:42Z</dcterms:created>
  <dcterms:modified xsi:type="dcterms:W3CDTF">2026-05-31T12:43:06Z</dcterms:modified>
</cp:coreProperties>
</file>