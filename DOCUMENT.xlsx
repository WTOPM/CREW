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Z:\002 - 2nd Mate-OFFICE - PC\"/>
    </mc:Choice>
  </mc:AlternateContent>
  <xr:revisionPtr revIDLastSave="0" documentId="13_ncr:1_{27BA8E1F-B4EE-492D-9C61-4C81C76FBC17}" xr6:coauthVersionLast="47" xr6:coauthVersionMax="47" xr10:uidLastSave="{00000000-0000-0000-0000-000000000000}"/>
  <bookViews>
    <workbookView xWindow="-120" yWindow="-120" windowWidth="29040" windowHeight="15840" tabRatio="741" activeTab="1" xr2:uid="{00000000-000D-0000-FFFF-FFFF00000000}"/>
  </bookViews>
  <sheets>
    <sheet name="Input" sheetId="1" r:id="rId1"/>
    <sheet name="Port of Call List" sheetId="2" r:id="rId2"/>
    <sheet name="ISPS (POC Company Form)" sheetId="3" r:id="rId3"/>
    <sheet name="Crew Arr." sheetId="4" r:id="rId4"/>
    <sheet name="Crew Dep." sheetId="5" r:id="rId5"/>
    <sheet name="Crew Arr. (ALG)" sheetId="18" r:id="rId6"/>
    <sheet name="Crew Effects" sheetId="6" r:id="rId7"/>
    <sheet name="Ship's Stores" sheetId="7" r:id="rId8"/>
    <sheet name="PAX (A)" sheetId="8" r:id="rId9"/>
    <sheet name="PAX (D)" sheetId="9" r:id="rId10"/>
    <sheet name="NIL List" sheetId="11" r:id="rId11"/>
    <sheet name="Ship money" sheetId="19" r:id="rId12"/>
    <sheet name="MDH" sheetId="16" r:id="rId13"/>
    <sheet name="Narcotic List" sheetId="10" r:id="rId14"/>
    <sheet name="Crew Money" sheetId="12" r:id="rId15"/>
    <sheet name="Cash Adv." sheetId="13" r:id="rId16"/>
    <sheet name="Smokers" sheetId="14" r:id="rId17"/>
    <sheet name="Vaccination" sheetId="15" r:id="rId18"/>
    <sheet name="Crew Contact Nos." sheetId="17" r:id="rId19"/>
  </sheets>
  <externalReferences>
    <externalReference r:id="rId20"/>
    <externalReference r:id="rId21"/>
  </externalReferences>
  <definedNames>
    <definedName name="_BunkersTypes">OFFSET(#REF!,0,0,COUNTA(#REF!))</definedName>
    <definedName name="_BunkersUnits">OFFSET(#REF!,0,0,COUNTA(#REF!))</definedName>
    <definedName name="_CertificateIssuers">OFFSET(#REF!,0,0,COUNTA(#REF!))</definedName>
    <definedName name="_Countries">OFFSET(#REF!,0,0,COUNTA(#REF!))</definedName>
    <definedName name="_CrewIdTypes">OFFSET(#REF!,0,0,COUNTA(#REF!))</definedName>
    <definedName name="_DgClassifications">OFFSET(#REF!,0,0,COUNTA(#REF!))</definedName>
    <definedName name="_DpgUnits">OFFSET(#REF!,0,0,COUNTA(#REF!))</definedName>
    <definedName name="_Genders">OFFSET(#REF!,0,0,COUNTA(#REF!))</definedName>
    <definedName name="_ImoHazardClasses">OFFSET(#REF!,0,0,COUNTA(#REF!))</definedName>
    <definedName name="_IsscIssuerTypes">OFFSET(#REF!,0,0,COUNTA(#REF!))</definedName>
    <definedName name="_IsscTypes">OFFSET(#REF!,0,0,COUNTA(#REF!))</definedName>
    <definedName name="_LatitudeDirections">#REF!</definedName>
    <definedName name="_LongitudeDirections">#REF!</definedName>
    <definedName name="_PaxIdTypes">OFFSET(#REF!,0,0,COUNTA(#REF!))</definedName>
    <definedName name="_Purposes">OFFSET(#REF!,0,0,COUNTA(#REF!))</definedName>
    <definedName name="_SecurityLevels">OFFSET(#REF!,0,0,COUNTA(#REF!))</definedName>
    <definedName name="_ShipContactPreferredMediums">OFFSET(#REF!,0,0,COUNTA(#REF!))</definedName>
    <definedName name="_ShipStoreTypes">OFFSET(#REF!,0,0,COUNTA(#REF!))</definedName>
    <definedName name="_WasteCodes">OFFSET(#REF!,0,0,COUNTA(#REF!))</definedName>
    <definedName name="_WasteStatuses">OFFSET(#REF!,0,0,COUNTA(#REF!))</definedName>
    <definedName name="_WasteTypes">OFFSET(#REF!,0,0,COUNTA(#REF!))</definedName>
    <definedName name="_YesNo">OFFSET(#REF!,0,0,COUNTA(#REF!))</definedName>
    <definedName name="Check1" localSheetId="8">#REF!</definedName>
    <definedName name="Check1" localSheetId="9">#REF!</definedName>
    <definedName name="Check1" localSheetId="16">#REF!</definedName>
    <definedName name="Check1">#REF!</definedName>
    <definedName name="Check3" localSheetId="16">#REF!</definedName>
    <definedName name="Check3">#REF!</definedName>
    <definedName name="Check4" localSheetId="16">#REF!</definedName>
    <definedName name="Check4">#REF!</definedName>
    <definedName name="ETA_PortOfCall">#REF!</definedName>
    <definedName name="ETD_LastPort">#REF!</definedName>
    <definedName name="ETD_PortOfCall">#REF!</definedName>
    <definedName name="_xlnm.Print_Area" localSheetId="15">'Cash Adv.'!$A$1:$L$28</definedName>
    <definedName name="_xlnm.Print_Area" localSheetId="3">'Crew Arr.'!$A$1:$J$50</definedName>
    <definedName name="_xlnm.Print_Area" localSheetId="5">'Crew Arr. (ALG)'!$A$1:$N$32</definedName>
    <definedName name="_xlnm.Print_Area" localSheetId="18">'Crew Contact Nos.'!$A$1:$I$22</definedName>
    <definedName name="_xlnm.Print_Area" localSheetId="4">'Crew Dep.'!$A$1:$J$44</definedName>
    <definedName name="_xlnm.Print_Area" localSheetId="6">'Crew Effects'!$A$1:$J$43</definedName>
    <definedName name="_xlnm.Print_Area" localSheetId="14">'Crew Money'!$A$1:$J$46</definedName>
    <definedName name="_xlnm.Print_Area" localSheetId="12">MDH!$A$1:$J$84</definedName>
    <definedName name="_xlnm.Print_Area" localSheetId="13">'Narcotic List'!$B$2:$I$18</definedName>
    <definedName name="_xlnm.Print_Area" localSheetId="10">'NIL List'!$A$1:$I$45</definedName>
    <definedName name="_xlnm.Print_Area" localSheetId="8">'PAX (A)'!$A$1:$J$48</definedName>
    <definedName name="_xlnm.Print_Area" localSheetId="9">'PAX (D)'!$A$1:$J$50</definedName>
    <definedName name="_xlnm.Print_Area" localSheetId="1">'Port of Call List'!$A$1:$G$30</definedName>
    <definedName name="_xlnm.Print_Area" localSheetId="11">'Ship money'!$A$1:$I$38</definedName>
    <definedName name="_xlnm.Print_Area" localSheetId="7">'Ship''s Stores'!$A$1:$I$53</definedName>
    <definedName name="_xlnm.Print_Area" localSheetId="16">Smokers!$A$1:$J$31</definedName>
    <definedName name="_xlnm.Print_Area" localSheetId="17">Vaccination!$A$1:$J$36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4" i="18" l="1"/>
  <c r="M23" i="18"/>
  <c r="K23" i="18"/>
  <c r="J23" i="18"/>
  <c r="H23" i="18"/>
  <c r="G23" i="18"/>
  <c r="E23" i="18"/>
  <c r="D23" i="18"/>
  <c r="C23" i="18"/>
  <c r="O27" i="3"/>
  <c r="I5" i="16"/>
  <c r="G5" i="16"/>
  <c r="G4" i="16"/>
  <c r="E6" i="5"/>
  <c r="H6" i="5"/>
  <c r="E8" i="5"/>
  <c r="J22" i="5"/>
  <c r="H22" i="5"/>
  <c r="G22" i="5"/>
  <c r="E22" i="5"/>
  <c r="D22" i="5"/>
  <c r="C22" i="5"/>
  <c r="J14" i="5"/>
  <c r="J15" i="5"/>
  <c r="H14" i="5"/>
  <c r="H15" i="5"/>
  <c r="G14" i="5"/>
  <c r="G15" i="5"/>
  <c r="E14" i="5"/>
  <c r="E15" i="5"/>
  <c r="D14" i="5"/>
  <c r="D15" i="5"/>
  <c r="C14" i="5"/>
  <c r="C15" i="5"/>
  <c r="J21" i="5"/>
  <c r="H21" i="5"/>
  <c r="G21" i="5"/>
  <c r="C21" i="5"/>
  <c r="E13" i="4"/>
  <c r="E14" i="4"/>
  <c r="E15" i="4"/>
  <c r="E16" i="4"/>
  <c r="E17" i="4"/>
  <c r="E18" i="4"/>
  <c r="E19" i="4"/>
  <c r="E20" i="4"/>
  <c r="E21" i="4"/>
  <c r="E22" i="4"/>
  <c r="E23" i="4"/>
  <c r="E12" i="4"/>
  <c r="D10" i="17" l="1"/>
  <c r="D11" i="17"/>
  <c r="D12" i="17"/>
  <c r="D13" i="17"/>
  <c r="D14" i="17"/>
  <c r="D15" i="17"/>
  <c r="D16" i="17"/>
  <c r="D17" i="17"/>
  <c r="D18" i="17"/>
  <c r="D19" i="17"/>
  <c r="D20" i="17"/>
  <c r="D21" i="17"/>
  <c r="C10" i="17"/>
  <c r="C11" i="17"/>
  <c r="C12" i="17"/>
  <c r="C13" i="17"/>
  <c r="C14" i="17"/>
  <c r="C15" i="17"/>
  <c r="C16" i="17"/>
  <c r="C17" i="17"/>
  <c r="C18" i="17"/>
  <c r="C19" i="17"/>
  <c r="C20" i="17"/>
  <c r="C21" i="17"/>
  <c r="A10" i="17"/>
  <c r="A11" i="17"/>
  <c r="A12" i="17"/>
  <c r="A13" i="17"/>
  <c r="A14" i="17"/>
  <c r="A15" i="17"/>
  <c r="A16" i="17"/>
  <c r="A17" i="17"/>
  <c r="A18" i="17"/>
  <c r="A19" i="17"/>
  <c r="A20" i="17"/>
  <c r="A21" i="17"/>
  <c r="B10" i="17"/>
  <c r="B11" i="17"/>
  <c r="B12" i="17"/>
  <c r="B13" i="17"/>
  <c r="B14" i="17"/>
  <c r="B15" i="17"/>
  <c r="B16" i="17"/>
  <c r="B17" i="17"/>
  <c r="B18" i="17"/>
  <c r="B19" i="17"/>
  <c r="B20" i="17"/>
  <c r="B21" i="17"/>
  <c r="D9" i="17"/>
  <c r="C9" i="17"/>
  <c r="B9" i="17"/>
  <c r="A9" i="17"/>
  <c r="A13" i="15"/>
  <c r="A14" i="15"/>
  <c r="A15" i="15"/>
  <c r="A16" i="15"/>
  <c r="A17" i="15"/>
  <c r="A18" i="15"/>
  <c r="A19" i="15"/>
  <c r="A20" i="15"/>
  <c r="A21" i="15"/>
  <c r="A22" i="15"/>
  <c r="A23" i="15"/>
  <c r="A24" i="15"/>
  <c r="A12" i="15"/>
  <c r="B22" i="15"/>
  <c r="B23" i="15"/>
  <c r="B24" i="15"/>
  <c r="B13" i="15"/>
  <c r="B14" i="15"/>
  <c r="B15" i="15"/>
  <c r="B16" i="15"/>
  <c r="B17" i="15"/>
  <c r="B18" i="15"/>
  <c r="B19" i="15"/>
  <c r="B20" i="15"/>
  <c r="B21" i="15"/>
  <c r="B12" i="15"/>
  <c r="G30" i="14"/>
  <c r="E9" i="14"/>
  <c r="A13" i="14"/>
  <c r="A14" i="14"/>
  <c r="A15" i="14"/>
  <c r="A16" i="14"/>
  <c r="A17" i="14"/>
  <c r="A18" i="14"/>
  <c r="A19" i="14"/>
  <c r="A20" i="14"/>
  <c r="A21" i="14"/>
  <c r="A22" i="14"/>
  <c r="A23" i="14"/>
  <c r="A24" i="14"/>
  <c r="A12" i="14"/>
  <c r="B13" i="14"/>
  <c r="B14" i="14"/>
  <c r="B15" i="14"/>
  <c r="B16" i="14"/>
  <c r="B17" i="14"/>
  <c r="B18" i="14"/>
  <c r="B19" i="14"/>
  <c r="B20" i="14"/>
  <c r="B21" i="14"/>
  <c r="B22" i="14"/>
  <c r="B23" i="14"/>
  <c r="B24" i="14"/>
  <c r="B12" i="14"/>
  <c r="C3" i="13"/>
  <c r="D7" i="13"/>
  <c r="D8" i="13"/>
  <c r="D9" i="13"/>
  <c r="D10" i="13"/>
  <c r="D11" i="13"/>
  <c r="D12" i="13"/>
  <c r="D13" i="13"/>
  <c r="D14" i="13"/>
  <c r="D15" i="13"/>
  <c r="D16" i="13"/>
  <c r="D17" i="13"/>
  <c r="D18" i="13"/>
  <c r="D6" i="13"/>
  <c r="B7" i="13"/>
  <c r="B8" i="13"/>
  <c r="B9" i="13"/>
  <c r="B10" i="13"/>
  <c r="B11" i="13"/>
  <c r="B12" i="13"/>
  <c r="B13" i="13"/>
  <c r="B14" i="13"/>
  <c r="B15" i="13"/>
  <c r="B16" i="13"/>
  <c r="B17" i="13"/>
  <c r="B18" i="13"/>
  <c r="B6" i="13"/>
  <c r="C17" i="13"/>
  <c r="C18" i="13"/>
  <c r="C7" i="13"/>
  <c r="C8" i="13"/>
  <c r="C9" i="13"/>
  <c r="C10" i="13"/>
  <c r="C11" i="13"/>
  <c r="C12" i="13"/>
  <c r="C13" i="13"/>
  <c r="C14" i="13"/>
  <c r="C15" i="13"/>
  <c r="C16" i="13"/>
  <c r="C6" i="13"/>
  <c r="H58" i="16"/>
  <c r="G6" i="16"/>
  <c r="G29" i="19"/>
  <c r="G36" i="11"/>
  <c r="M13" i="18"/>
  <c r="M15" i="18"/>
  <c r="M16" i="18"/>
  <c r="M17" i="18"/>
  <c r="M18" i="18"/>
  <c r="M19" i="18"/>
  <c r="M20" i="18"/>
  <c r="M21" i="18"/>
  <c r="M22" i="18"/>
  <c r="L13" i="18"/>
  <c r="L14" i="18"/>
  <c r="L15" i="18"/>
  <c r="L16" i="18"/>
  <c r="L17" i="18"/>
  <c r="L18" i="18"/>
  <c r="L19" i="18"/>
  <c r="L20" i="18"/>
  <c r="L21" i="18"/>
  <c r="L22" i="18"/>
  <c r="K13" i="18"/>
  <c r="K14" i="18"/>
  <c r="K15" i="18"/>
  <c r="K16" i="18"/>
  <c r="K17" i="18"/>
  <c r="K18" i="18"/>
  <c r="K19" i="18"/>
  <c r="K20" i="18"/>
  <c r="K21" i="18"/>
  <c r="K22" i="18"/>
  <c r="J13" i="18"/>
  <c r="J14" i="18"/>
  <c r="J15" i="18"/>
  <c r="J16" i="18"/>
  <c r="J17" i="18"/>
  <c r="J18" i="18"/>
  <c r="J19" i="18"/>
  <c r="J20" i="18"/>
  <c r="J21" i="18"/>
  <c r="J22" i="18"/>
  <c r="H13" i="18"/>
  <c r="H14" i="18"/>
  <c r="H15" i="18"/>
  <c r="H16" i="18"/>
  <c r="H17" i="18"/>
  <c r="H18" i="18"/>
  <c r="H19" i="18"/>
  <c r="H20" i="18"/>
  <c r="H21" i="18"/>
  <c r="H22" i="18"/>
  <c r="G13" i="18"/>
  <c r="G14" i="18"/>
  <c r="G15" i="18"/>
  <c r="G16" i="18"/>
  <c r="G17" i="18"/>
  <c r="G18" i="18"/>
  <c r="G19" i="18"/>
  <c r="G20" i="18"/>
  <c r="G21" i="18"/>
  <c r="G22" i="18"/>
  <c r="E13" i="18"/>
  <c r="E14" i="18"/>
  <c r="E15" i="18"/>
  <c r="E16" i="18"/>
  <c r="E17" i="18"/>
  <c r="E18" i="18"/>
  <c r="E19" i="18"/>
  <c r="E20" i="18"/>
  <c r="E21" i="18"/>
  <c r="E22" i="18"/>
  <c r="D13" i="18"/>
  <c r="D14" i="18"/>
  <c r="D15" i="18"/>
  <c r="D16" i="18"/>
  <c r="D17" i="18"/>
  <c r="D18" i="18"/>
  <c r="D19" i="18"/>
  <c r="D20" i="18"/>
  <c r="D21" i="18"/>
  <c r="D22" i="18"/>
  <c r="C13" i="18"/>
  <c r="C14" i="18"/>
  <c r="C15" i="18"/>
  <c r="C16" i="18"/>
  <c r="C17" i="18"/>
  <c r="C18" i="18"/>
  <c r="C19" i="18"/>
  <c r="C20" i="18"/>
  <c r="C21" i="18"/>
  <c r="C22" i="18"/>
  <c r="B13" i="18"/>
  <c r="B14" i="18"/>
  <c r="B15" i="18"/>
  <c r="B16" i="18"/>
  <c r="B17" i="18"/>
  <c r="B18" i="18"/>
  <c r="B19" i="18"/>
  <c r="B20" i="18"/>
  <c r="B21" i="18"/>
  <c r="B22" i="18"/>
  <c r="M12" i="18"/>
  <c r="L12" i="18"/>
  <c r="K12" i="18"/>
  <c r="J12" i="18"/>
  <c r="H12" i="18"/>
  <c r="G12" i="18"/>
  <c r="E12" i="18"/>
  <c r="D12" i="18"/>
  <c r="C12" i="18"/>
  <c r="B12" i="18"/>
  <c r="M11" i="18"/>
  <c r="L11" i="18"/>
  <c r="K11" i="18"/>
  <c r="J11" i="18"/>
  <c r="H11" i="18"/>
  <c r="G11" i="18"/>
  <c r="E11" i="18"/>
  <c r="D11" i="18"/>
  <c r="C11" i="18"/>
  <c r="B11" i="18"/>
  <c r="J12" i="5"/>
  <c r="J13" i="5"/>
  <c r="J16" i="5"/>
  <c r="J17" i="5"/>
  <c r="J18" i="5"/>
  <c r="J19" i="5"/>
  <c r="J20" i="5"/>
  <c r="J23" i="5"/>
  <c r="H12" i="5"/>
  <c r="H13" i="5"/>
  <c r="H16" i="5"/>
  <c r="H17" i="5"/>
  <c r="H18" i="5"/>
  <c r="H19" i="5"/>
  <c r="H20" i="5"/>
  <c r="H23" i="5"/>
  <c r="G12" i="5"/>
  <c r="G13" i="5"/>
  <c r="G16" i="5"/>
  <c r="G17" i="5"/>
  <c r="G18" i="5"/>
  <c r="G19" i="5"/>
  <c r="G20" i="5"/>
  <c r="G23" i="5"/>
  <c r="E12" i="5"/>
  <c r="E13" i="5"/>
  <c r="E16" i="5"/>
  <c r="E17" i="5"/>
  <c r="E18" i="5"/>
  <c r="E19" i="5"/>
  <c r="E20" i="5"/>
  <c r="E21" i="5"/>
  <c r="E23" i="5"/>
  <c r="D12" i="5"/>
  <c r="D13" i="5"/>
  <c r="D16" i="5"/>
  <c r="D17" i="5"/>
  <c r="D18" i="5"/>
  <c r="D19" i="5"/>
  <c r="D20" i="5"/>
  <c r="D21" i="5"/>
  <c r="D23" i="5"/>
  <c r="C12" i="5"/>
  <c r="C13" i="5"/>
  <c r="C16" i="5"/>
  <c r="C17" i="5"/>
  <c r="C18" i="5"/>
  <c r="C19" i="5"/>
  <c r="C20" i="5"/>
  <c r="C23" i="5"/>
  <c r="B12" i="5"/>
  <c r="B13" i="5"/>
  <c r="B14" i="5"/>
  <c r="B15" i="5"/>
  <c r="B16" i="5"/>
  <c r="B17" i="5"/>
  <c r="B18" i="5"/>
  <c r="B19" i="5"/>
  <c r="B20" i="5"/>
  <c r="B21" i="5"/>
  <c r="B22" i="5"/>
  <c r="B23" i="5"/>
  <c r="J11" i="5"/>
  <c r="H11" i="5"/>
  <c r="G11" i="5"/>
  <c r="E11" i="5"/>
  <c r="D11" i="5"/>
  <c r="C11" i="5"/>
  <c r="B11" i="5"/>
  <c r="J13" i="4"/>
  <c r="J14" i="4"/>
  <c r="J15" i="4"/>
  <c r="J16" i="4"/>
  <c r="J17" i="4"/>
  <c r="J18" i="4"/>
  <c r="J19" i="4"/>
  <c r="J20" i="4"/>
  <c r="J21" i="4"/>
  <c r="J22" i="4"/>
  <c r="J23" i="4"/>
  <c r="H13" i="4"/>
  <c r="H14" i="4"/>
  <c r="H15" i="4"/>
  <c r="H16" i="4"/>
  <c r="H17" i="4"/>
  <c r="H18" i="4"/>
  <c r="H19" i="4"/>
  <c r="H20" i="4"/>
  <c r="H21" i="4"/>
  <c r="H22" i="4"/>
  <c r="H23" i="4"/>
  <c r="G13" i="4"/>
  <c r="G14" i="4"/>
  <c r="G15" i="4"/>
  <c r="G16" i="4"/>
  <c r="G17" i="4"/>
  <c r="G18" i="4"/>
  <c r="G19" i="4"/>
  <c r="G20" i="4"/>
  <c r="G21" i="4"/>
  <c r="G22" i="4"/>
  <c r="G23" i="4"/>
  <c r="J12" i="4"/>
  <c r="H12" i="4"/>
  <c r="G12" i="4"/>
  <c r="J11" i="4"/>
  <c r="H11" i="4"/>
  <c r="G11" i="4"/>
  <c r="E11" i="4"/>
  <c r="D13" i="4"/>
  <c r="D14" i="4"/>
  <c r="D15" i="4"/>
  <c r="D16" i="4"/>
  <c r="D17" i="4"/>
  <c r="D18" i="4"/>
  <c r="D19" i="4"/>
  <c r="D20" i="4"/>
  <c r="D21" i="4"/>
  <c r="D22" i="4"/>
  <c r="D23" i="4"/>
  <c r="D12" i="4"/>
  <c r="D11" i="4"/>
  <c r="C13" i="4"/>
  <c r="C14" i="4"/>
  <c r="C15" i="4"/>
  <c r="C16" i="4"/>
  <c r="C17" i="4"/>
  <c r="C18" i="4"/>
  <c r="C19" i="4"/>
  <c r="C20" i="4"/>
  <c r="C21" i="4"/>
  <c r="C22" i="4"/>
  <c r="C23" i="4"/>
  <c r="C12" i="4"/>
  <c r="C11" i="4"/>
  <c r="B13" i="4"/>
  <c r="B14" i="4"/>
  <c r="B15" i="4"/>
  <c r="B16" i="4"/>
  <c r="B17" i="4"/>
  <c r="B18" i="4"/>
  <c r="B19" i="4"/>
  <c r="B20" i="4"/>
  <c r="B21" i="4"/>
  <c r="B22" i="4"/>
  <c r="B23" i="4"/>
  <c r="B12" i="4"/>
  <c r="B11" i="4"/>
  <c r="G7" i="19"/>
  <c r="C7" i="19"/>
  <c r="G6" i="19"/>
  <c r="C6" i="19"/>
  <c r="I8" i="18"/>
  <c r="E8" i="18"/>
  <c r="B8" i="18"/>
  <c r="H6" i="18"/>
  <c r="E6" i="18"/>
  <c r="B6" i="18"/>
  <c r="H6" i="4"/>
  <c r="E6" i="4"/>
  <c r="E8" i="4"/>
  <c r="I8" i="4"/>
  <c r="E8" i="9"/>
  <c r="H6" i="9"/>
  <c r="E6" i="9"/>
  <c r="B11" i="10" l="1"/>
  <c r="B10" i="10"/>
  <c r="I22" i="3" l="1"/>
  <c r="H22" i="3"/>
  <c r="G28" i="16" s="1"/>
  <c r="G22" i="3"/>
  <c r="F22" i="3"/>
  <c r="E22" i="3"/>
  <c r="H28" i="16" s="1"/>
  <c r="D22" i="3"/>
  <c r="C22" i="3"/>
  <c r="C28" i="16" s="1"/>
  <c r="B22" i="3"/>
  <c r="I21" i="3"/>
  <c r="H21" i="3"/>
  <c r="G27" i="16" s="1"/>
  <c r="G21" i="3"/>
  <c r="F21" i="3"/>
  <c r="E21" i="3"/>
  <c r="H27" i="16" s="1"/>
  <c r="D21" i="3"/>
  <c r="C21" i="3"/>
  <c r="C27" i="16" s="1"/>
  <c r="B21" i="3"/>
  <c r="I20" i="3"/>
  <c r="H20" i="3"/>
  <c r="G26" i="16" s="1"/>
  <c r="G20" i="3"/>
  <c r="F20" i="3"/>
  <c r="E20" i="3"/>
  <c r="H26" i="16" s="1"/>
  <c r="D20" i="3"/>
  <c r="C20" i="3"/>
  <c r="C26" i="16" s="1"/>
  <c r="B20" i="3"/>
  <c r="I19" i="3"/>
  <c r="H19" i="3"/>
  <c r="G25" i="16" s="1"/>
  <c r="G19" i="3"/>
  <c r="F19" i="3"/>
  <c r="E19" i="3"/>
  <c r="H25" i="16" s="1"/>
  <c r="D19" i="3"/>
  <c r="C19" i="3"/>
  <c r="C25" i="16" s="1"/>
  <c r="B19" i="3"/>
  <c r="I18" i="3"/>
  <c r="H18" i="3"/>
  <c r="G24" i="16" s="1"/>
  <c r="G18" i="3"/>
  <c r="F18" i="3"/>
  <c r="E18" i="3"/>
  <c r="H24" i="16" s="1"/>
  <c r="D18" i="3"/>
  <c r="C18" i="3"/>
  <c r="C24" i="16" s="1"/>
  <c r="B18" i="3"/>
  <c r="I17" i="3"/>
  <c r="H17" i="3"/>
  <c r="G23" i="16" s="1"/>
  <c r="G17" i="3"/>
  <c r="F17" i="3"/>
  <c r="E17" i="3"/>
  <c r="H23" i="16" s="1"/>
  <c r="D17" i="3"/>
  <c r="C17" i="3"/>
  <c r="C23" i="16" s="1"/>
  <c r="B17" i="3"/>
  <c r="I16" i="3"/>
  <c r="H16" i="3"/>
  <c r="G22" i="16" s="1"/>
  <c r="G16" i="3"/>
  <c r="F16" i="3"/>
  <c r="E16" i="3"/>
  <c r="H22" i="16" s="1"/>
  <c r="D16" i="3"/>
  <c r="C16" i="3"/>
  <c r="C22" i="16" s="1"/>
  <c r="B16" i="3"/>
  <c r="I15" i="3"/>
  <c r="H15" i="3"/>
  <c r="G21" i="16" s="1"/>
  <c r="G15" i="3"/>
  <c r="F15" i="3"/>
  <c r="E15" i="3"/>
  <c r="H21" i="16" s="1"/>
  <c r="D15" i="3"/>
  <c r="C15" i="3"/>
  <c r="C21" i="16" s="1"/>
  <c r="B15" i="3"/>
  <c r="I14" i="3"/>
  <c r="H14" i="3"/>
  <c r="G20" i="16" s="1"/>
  <c r="G14" i="3"/>
  <c r="F14" i="3"/>
  <c r="E14" i="3"/>
  <c r="H20" i="16" s="1"/>
  <c r="D14" i="3"/>
  <c r="C14" i="3"/>
  <c r="C20" i="16" s="1"/>
  <c r="B14" i="3"/>
  <c r="D7" i="2"/>
  <c r="I13" i="3"/>
  <c r="H13" i="3"/>
  <c r="G19" i="16" s="1"/>
  <c r="G13" i="3"/>
  <c r="F13" i="3"/>
  <c r="E13" i="3"/>
  <c r="H19" i="16" s="1"/>
  <c r="D13" i="3"/>
  <c r="C13" i="3"/>
  <c r="C19" i="16" s="1"/>
  <c r="B13" i="3"/>
  <c r="E21" i="6"/>
  <c r="D21" i="6"/>
  <c r="G6" i="7"/>
  <c r="E6" i="8"/>
  <c r="G7" i="11"/>
  <c r="G6" i="11"/>
  <c r="G5" i="10"/>
  <c r="E13" i="6" l="1"/>
  <c r="D10" i="6"/>
  <c r="H6" i="8" l="1"/>
  <c r="E21" i="12"/>
  <c r="D21" i="12"/>
  <c r="G7" i="10"/>
  <c r="E7" i="10"/>
  <c r="E5" i="10"/>
  <c r="J7" i="14"/>
  <c r="J9" i="15"/>
  <c r="J7" i="15"/>
  <c r="E9" i="15"/>
  <c r="E7" i="15"/>
  <c r="I8" i="8"/>
  <c r="E8" i="8"/>
  <c r="H8" i="7"/>
  <c r="E8" i="7"/>
  <c r="E6" i="7"/>
  <c r="F7" i="2"/>
  <c r="E5" i="2"/>
  <c r="O6" i="3"/>
  <c r="F5" i="2"/>
  <c r="D9" i="6"/>
  <c r="O5" i="3" l="1"/>
  <c r="A5" i="17" l="1"/>
  <c r="A3" i="17"/>
  <c r="C59" i="16"/>
  <c r="C6" i="16"/>
  <c r="C5" i="16"/>
  <c r="D9" i="15"/>
  <c r="A9" i="15"/>
  <c r="D7" i="15"/>
  <c r="A7" i="15"/>
  <c r="B5" i="15"/>
  <c r="D9" i="14"/>
  <c r="A9" i="14"/>
  <c r="E7" i="14"/>
  <c r="D7" i="14"/>
  <c r="A7" i="14"/>
  <c r="B5" i="14"/>
  <c r="C7" i="12"/>
  <c r="C5" i="12"/>
  <c r="C7" i="11"/>
  <c r="C6" i="11"/>
  <c r="B7" i="10"/>
  <c r="B5" i="10"/>
  <c r="B8" i="9"/>
  <c r="B6" i="9"/>
  <c r="B8" i="8"/>
  <c r="B6" i="8"/>
  <c r="B8" i="7"/>
  <c r="C7" i="6"/>
  <c r="C5" i="6"/>
  <c r="E20" i="6"/>
  <c r="D20" i="6"/>
  <c r="E19" i="6"/>
  <c r="D19" i="6"/>
  <c r="E18" i="6"/>
  <c r="D18" i="6"/>
  <c r="E17" i="6"/>
  <c r="D17" i="6"/>
  <c r="E16" i="6"/>
  <c r="D16" i="6"/>
  <c r="E15" i="6"/>
  <c r="D15" i="6"/>
  <c r="E14" i="6"/>
  <c r="D14" i="6"/>
  <c r="D13" i="6"/>
  <c r="E12" i="6"/>
  <c r="D12" i="6"/>
  <c r="E11" i="6"/>
  <c r="D11" i="6"/>
  <c r="E10" i="6"/>
  <c r="E9" i="6"/>
  <c r="B8" i="5"/>
  <c r="B6" i="5"/>
  <c r="D20" i="12"/>
  <c r="E19" i="12"/>
  <c r="D19" i="12"/>
  <c r="D18" i="12"/>
  <c r="D17" i="12"/>
  <c r="D16" i="12"/>
  <c r="E15" i="12"/>
  <c r="D15" i="12"/>
  <c r="E14" i="12"/>
  <c r="D14" i="12"/>
  <c r="E13" i="12"/>
  <c r="D13" i="12"/>
  <c r="D12" i="12"/>
  <c r="E11" i="12"/>
  <c r="D11" i="12"/>
  <c r="D10" i="12"/>
  <c r="E9" i="12"/>
  <c r="D9" i="12"/>
  <c r="B8" i="4"/>
  <c r="B6" i="4"/>
  <c r="O8" i="3"/>
  <c r="O7" i="3"/>
  <c r="C7" i="2"/>
  <c r="A7" i="2"/>
  <c r="C5" i="2"/>
  <c r="A5" i="2"/>
  <c r="E10" i="12" l="1"/>
  <c r="E18" i="12"/>
  <c r="E20" i="12"/>
  <c r="E12" i="12"/>
  <c r="E16" i="12"/>
</calcChain>
</file>

<file path=xl/sharedStrings.xml><?xml version="1.0" encoding="utf-8"?>
<sst xmlns="http://schemas.openxmlformats.org/spreadsheetml/2006/main" count="1634" uniqueCount="1019">
  <si>
    <t xml:space="preserve"> </t>
  </si>
  <si>
    <t>Name:</t>
  </si>
  <si>
    <t>HANNA</t>
  </si>
  <si>
    <t>Call Sign:</t>
  </si>
  <si>
    <t>5BGV2</t>
  </si>
  <si>
    <t>Nationality:</t>
  </si>
  <si>
    <t>Cyprus</t>
  </si>
  <si>
    <t>Homeport:</t>
  </si>
  <si>
    <t>Limassol</t>
  </si>
  <si>
    <t>IMO No:</t>
  </si>
  <si>
    <t>Type:</t>
  </si>
  <si>
    <t>Container</t>
  </si>
  <si>
    <t>Date of Arrival:</t>
  </si>
  <si>
    <t xml:space="preserve">  </t>
  </si>
  <si>
    <t xml:space="preserve">   </t>
  </si>
  <si>
    <t>Date of Departure:</t>
  </si>
  <si>
    <t xml:space="preserve">      </t>
  </si>
  <si>
    <t xml:space="preserve">     </t>
  </si>
  <si>
    <t xml:space="preserve">No. </t>
  </si>
  <si>
    <t>Rank</t>
  </si>
  <si>
    <t>Nationality</t>
  </si>
  <si>
    <t>Passport</t>
  </si>
  <si>
    <t>Port of Call:</t>
  </si>
  <si>
    <t xml:space="preserve">SOKOLOV, Pavel </t>
  </si>
  <si>
    <t>Master</t>
  </si>
  <si>
    <t>Russian Federation</t>
  </si>
  <si>
    <t>USSR, Kaluga Reg.</t>
  </si>
  <si>
    <t>MK 0135153</t>
  </si>
  <si>
    <t>17.12.2020-17.12.2030</t>
  </si>
  <si>
    <t>07.09.2012 - Unlimited</t>
  </si>
  <si>
    <t>ZELENKOV, Artur</t>
  </si>
  <si>
    <t>Ch.Off</t>
  </si>
  <si>
    <t>15.01.89</t>
  </si>
  <si>
    <t>USSR, Kherson</t>
  </si>
  <si>
    <t>MK0198564</t>
  </si>
  <si>
    <t>27.02.2017-Unlimited</t>
  </si>
  <si>
    <t xml:space="preserve">         </t>
  </si>
  <si>
    <t>2nd Off</t>
  </si>
  <si>
    <t>Ukraine</t>
  </si>
  <si>
    <t>PANIROVSKIY, Maxim</t>
  </si>
  <si>
    <t>Ch.Eng</t>
  </si>
  <si>
    <t>MK0126676</t>
  </si>
  <si>
    <t>25.04.2019-25.04.2029</t>
  </si>
  <si>
    <t>05.08.2011-Unlimited</t>
  </si>
  <si>
    <t xml:space="preserve">                 </t>
  </si>
  <si>
    <t>2nd Eng</t>
  </si>
  <si>
    <t>22.08.92</t>
  </si>
  <si>
    <t>FH202954</t>
  </si>
  <si>
    <t xml:space="preserve">AB631580 </t>
  </si>
  <si>
    <t>27.07.2017-27.07.2027</t>
  </si>
  <si>
    <t>CMA CGM</t>
  </si>
  <si>
    <t>A/B</t>
  </si>
  <si>
    <t>Philippines</t>
  </si>
  <si>
    <t>C1065326</t>
  </si>
  <si>
    <t>14.10.2020-13.10.2025</t>
  </si>
  <si>
    <t>04.07.2017-02.07.2027</t>
  </si>
  <si>
    <t>SAMULDE, Samuel Jr. Ignacio</t>
  </si>
  <si>
    <t>30.11.93</t>
  </si>
  <si>
    <t>Taguig MM</t>
  </si>
  <si>
    <t>P7070657B</t>
  </si>
  <si>
    <t>C1069798</t>
  </si>
  <si>
    <t>30.06.2021-29.06.2031</t>
  </si>
  <si>
    <t>14.08.2017-12.08.2027</t>
  </si>
  <si>
    <t>A0082382</t>
  </si>
  <si>
    <t>13.02.2020-12.02.2030</t>
  </si>
  <si>
    <t>27.02.2020-27.02.2030</t>
  </si>
  <si>
    <t xml:space="preserve">                       </t>
  </si>
  <si>
    <t>C1502915</t>
  </si>
  <si>
    <t>21.02.2020-20.02.2030</t>
  </si>
  <si>
    <t>19.02.2020-16.02.2030</t>
  </si>
  <si>
    <t xml:space="preserve">              </t>
  </si>
  <si>
    <t>Wiper</t>
  </si>
  <si>
    <t>P5533429B</t>
  </si>
  <si>
    <t>C0890672</t>
  </si>
  <si>
    <t>21.09.2020-20.09.2030</t>
  </si>
  <si>
    <t>12.08.2016-10.08.2026</t>
  </si>
  <si>
    <t>BUMATAY, Ien Carumba</t>
  </si>
  <si>
    <t>Cook</t>
  </si>
  <si>
    <t>22.08.81</t>
  </si>
  <si>
    <t>Tagum Davao</t>
  </si>
  <si>
    <t>P6840954B</t>
  </si>
  <si>
    <t>C0913725</t>
  </si>
  <si>
    <t>20.05.2021-19.05.2031</t>
  </si>
  <si>
    <t>04.01.2017-02.01.2027</t>
  </si>
  <si>
    <t>Dcad</t>
  </si>
  <si>
    <t>C1200189</t>
  </si>
  <si>
    <t>19.05.2018-18.05.2028</t>
  </si>
  <si>
    <t>23.12.2017-21.12.2027</t>
  </si>
  <si>
    <t>Previous Crew Details</t>
  </si>
  <si>
    <t>MK 0158687</t>
  </si>
  <si>
    <t>04.04.2013 - Unlimited</t>
  </si>
  <si>
    <t>UGROVATOV, Andrey</t>
  </si>
  <si>
    <t>19.03.76</t>
  </si>
  <si>
    <t>USSR, Rostov-on-Don</t>
  </si>
  <si>
    <t>ZHYKHARIEV, Dmytro</t>
  </si>
  <si>
    <t>Ukraine, Kherson</t>
  </si>
  <si>
    <t xml:space="preserve">FH557277 </t>
  </si>
  <si>
    <t>AB662852</t>
  </si>
  <si>
    <t>18.08.2017-18.08.2027</t>
  </si>
  <si>
    <t>Ukraine, Odessa</t>
  </si>
  <si>
    <t>FU050737</t>
  </si>
  <si>
    <t>AB640625</t>
  </si>
  <si>
    <t>05.02.2019-05.02.2029</t>
  </si>
  <si>
    <t>KHARNIKOV, Vadim</t>
  </si>
  <si>
    <t>10.10.61</t>
  </si>
  <si>
    <t>USSR, Kaliningrad</t>
  </si>
  <si>
    <t>MK 0137378</t>
  </si>
  <si>
    <t>09.08.2012-Unlimited</t>
  </si>
  <si>
    <t>TULEN, Rhey Felipe Yting</t>
  </si>
  <si>
    <t>14.06.86</t>
  </si>
  <si>
    <t>Oroquieta City</t>
  </si>
  <si>
    <t>EC5085233</t>
  </si>
  <si>
    <t>C0698231</t>
  </si>
  <si>
    <t>25.08.2015-24.08.2020</t>
  </si>
  <si>
    <t>03.09.2015-01.09.2020</t>
  </si>
  <si>
    <t>BERNIL, Joel Macapinig</t>
  </si>
  <si>
    <t>13.02.66</t>
  </si>
  <si>
    <t>Naval Leyte</t>
  </si>
  <si>
    <t>EB9942742</t>
  </si>
  <si>
    <t>C0713553</t>
  </si>
  <si>
    <t>08.01.2014-07.01.2019</t>
  </si>
  <si>
    <t>30.09.2015-28.09.2020</t>
  </si>
  <si>
    <t>DELFINO, Sal Jr. Gerona</t>
  </si>
  <si>
    <t>03.02.71</t>
  </si>
  <si>
    <t>Dauin Negros Oriental</t>
  </si>
  <si>
    <t>P6386214A</t>
  </si>
  <si>
    <t>C1054187</t>
  </si>
  <si>
    <t>13.03.2018-12.03.2028</t>
  </si>
  <si>
    <t>07.05.2018-04.05.2028</t>
  </si>
  <si>
    <t>Tagum, Davao</t>
  </si>
  <si>
    <t>P1624947A</t>
  </si>
  <si>
    <t>13.01.2017-12.01.2022</t>
  </si>
  <si>
    <t>MAGANTE, Pablito Jr. Laxamana</t>
  </si>
  <si>
    <t>15.12.86</t>
  </si>
  <si>
    <t>TARLAC, TARLAC</t>
  </si>
  <si>
    <t>P5747770B</t>
  </si>
  <si>
    <t>A0098812</t>
  </si>
  <si>
    <t>07.11.2020-06.11.2030</t>
  </si>
  <si>
    <t>05.11.2020-05.11.2030</t>
  </si>
  <si>
    <t>OLIVEROS, Ramie Nobleza</t>
  </si>
  <si>
    <t>08.01.85</t>
  </si>
  <si>
    <t>OTON, ILOILO</t>
  </si>
  <si>
    <t>P4059646B</t>
  </si>
  <si>
    <t>C1502205</t>
  </si>
  <si>
    <t>05.12.2019-04.12.2029</t>
  </si>
  <si>
    <t>06.01.2020-06.01.2030</t>
  </si>
  <si>
    <t xml:space="preserve">PERALTA, Dante Castillo </t>
  </si>
  <si>
    <t>16.04.71</t>
  </si>
  <si>
    <t>C1174016</t>
  </si>
  <si>
    <t>21.11.2017-19.11.2027</t>
  </si>
  <si>
    <t>SOBERE, Edmond Dequilla</t>
  </si>
  <si>
    <t>03.11.90</t>
  </si>
  <si>
    <t>Pasig City</t>
  </si>
  <si>
    <t>P0606328B</t>
  </si>
  <si>
    <t>C1430561</t>
  </si>
  <si>
    <t>09.02.2019-08.02.2029</t>
  </si>
  <si>
    <t>04.02.2019-01.02.2029</t>
  </si>
  <si>
    <t>ROQUID, Van Cloyd Blanco</t>
  </si>
  <si>
    <t>25.10.87</t>
  </si>
  <si>
    <t>CARMEN, DAVAO</t>
  </si>
  <si>
    <t>P9969761A</t>
  </si>
  <si>
    <t>A0055405</t>
  </si>
  <si>
    <t xml:space="preserve">18.12.2018-17.12.2028 </t>
  </si>
  <si>
    <t>21.05.2020-21.05.2030</t>
  </si>
  <si>
    <t>CORONEL, Garileo Tadeo</t>
  </si>
  <si>
    <t>10.08.77</t>
  </si>
  <si>
    <t>Bustos, Bulacan</t>
  </si>
  <si>
    <t>P1296721B</t>
  </si>
  <si>
    <t>C0939777</t>
  </si>
  <si>
    <t>01.04.2019-31.03.2029</t>
  </si>
  <si>
    <t>26.10.2016-24.10.2026</t>
  </si>
  <si>
    <t>LAS, Marvicrizer Ramos</t>
  </si>
  <si>
    <t>06.08.90</t>
  </si>
  <si>
    <t>MAPUN TAWI TAWI</t>
  </si>
  <si>
    <t>P5969089B</t>
  </si>
  <si>
    <t>C1163645</t>
  </si>
  <si>
    <t>17.12.2020-16.12.2030</t>
  </si>
  <si>
    <t>18.10.2017-16.10.2027</t>
  </si>
  <si>
    <t>LUMANSOC, Joel</t>
  </si>
  <si>
    <t>03.12.78</t>
  </si>
  <si>
    <t>Tagbilaran City</t>
  </si>
  <si>
    <t>EC7692031</t>
  </si>
  <si>
    <t>C0439098</t>
  </si>
  <si>
    <t>12.05.2016-11.05.2021</t>
  </si>
  <si>
    <t>12.05.2015-10.05.2020</t>
  </si>
  <si>
    <t>ALAGENIO, Rolly Clamonte</t>
  </si>
  <si>
    <t>21.01.86</t>
  </si>
  <si>
    <t>Dumalinao, Zamboanga Del Sur</t>
  </si>
  <si>
    <t>P6705982B</t>
  </si>
  <si>
    <t>C0728453</t>
  </si>
  <si>
    <t xml:space="preserve">27.04.2021-26.04.2031 </t>
  </si>
  <si>
    <t>26.01.2017-24.01.2027</t>
  </si>
  <si>
    <t>MELMIDA, Anselmo Pasaylo</t>
  </si>
  <si>
    <t>24.05.69</t>
  </si>
  <si>
    <t>Lala Lanao Dn</t>
  </si>
  <si>
    <t>P7750883A</t>
  </si>
  <si>
    <t>C1528930</t>
  </si>
  <si>
    <t>30.06.2018-29.06.2028</t>
  </si>
  <si>
    <t>27.09.2019-24.09.2029</t>
  </si>
  <si>
    <t>SOMBLINGO, Wilson Ian Ventura</t>
  </si>
  <si>
    <t>21.03.87</t>
  </si>
  <si>
    <t>BACOLOD CITY</t>
  </si>
  <si>
    <t>P5636365B</t>
  </si>
  <si>
    <t>PADUA, Efren Jay Amigable</t>
  </si>
  <si>
    <t>17.10.89</t>
  </si>
  <si>
    <t>GUIUAN EASTERN SAMAR</t>
  </si>
  <si>
    <t>P6954831A</t>
  </si>
  <si>
    <t>C1053742</t>
  </si>
  <si>
    <t>27.04.2018-26.04.2028</t>
  </si>
  <si>
    <t>ECLAVIA, Jonathan Baldado</t>
  </si>
  <si>
    <t>11.01.77</t>
  </si>
  <si>
    <t>Tukuran Zamboanga Del Sur</t>
  </si>
  <si>
    <t>P3279940B</t>
  </si>
  <si>
    <t>C1538128</t>
  </si>
  <si>
    <t>19.09.2019-18.09.2029</t>
  </si>
  <si>
    <t>16.09.2019-16.09.2029</t>
  </si>
  <si>
    <t>BERNAL, Ariel Tayoto</t>
  </si>
  <si>
    <t>09.05.79</t>
  </si>
  <si>
    <t>QUEZON CITY</t>
  </si>
  <si>
    <t>P4902360B</t>
  </si>
  <si>
    <t>CLARAGA, Raymar Cabus-Os</t>
  </si>
  <si>
    <t>16.12.93</t>
  </si>
  <si>
    <t>Carmen Bohol</t>
  </si>
  <si>
    <t>P5739858A</t>
  </si>
  <si>
    <t>C1112939</t>
  </si>
  <si>
    <t>24.01.2018-23.01.2028</t>
  </si>
  <si>
    <t>18.06.2019-18.06.2029</t>
  </si>
  <si>
    <t>TAGARO, April Xyron Docdoc</t>
  </si>
  <si>
    <t>10.04.96</t>
  </si>
  <si>
    <t>BUTUAN CITY</t>
  </si>
  <si>
    <t>P4800508B</t>
  </si>
  <si>
    <t>OLIFIRENKO, Danyl</t>
  </si>
  <si>
    <t>10.09.96</t>
  </si>
  <si>
    <t>Kherson</t>
  </si>
  <si>
    <t>FB295423</t>
  </si>
  <si>
    <t>AB515760</t>
  </si>
  <si>
    <t>03.03.2015-03.03.2025</t>
  </si>
  <si>
    <t>26.12.2013-23.02.2023</t>
  </si>
  <si>
    <t>MUSATOV, Andrii</t>
  </si>
  <si>
    <t>16.05.99</t>
  </si>
  <si>
    <t>FL179485</t>
  </si>
  <si>
    <t>AB613736</t>
  </si>
  <si>
    <t>17.01.2018-17.01.2028</t>
  </si>
  <si>
    <t>29.03.2017-14.03.2022</t>
  </si>
  <si>
    <t>ARZAGA, Cristo Ray Rubino</t>
  </si>
  <si>
    <t>29.05.90</t>
  </si>
  <si>
    <t>PATNONGON, ANTIQUE</t>
  </si>
  <si>
    <t>P5577600A</t>
  </si>
  <si>
    <t>C1115108</t>
  </si>
  <si>
    <t>10.01.2018-09.01.2028</t>
  </si>
  <si>
    <t>01.02.2018-30.01.2028</t>
  </si>
  <si>
    <t>SON, Giovanni Virtudazo</t>
  </si>
  <si>
    <t>13.06.88</t>
  </si>
  <si>
    <t>BAYUGAN ADS</t>
  </si>
  <si>
    <t>EB9768482</t>
  </si>
  <si>
    <t>C0184250</t>
  </si>
  <si>
    <t>07.12.2013-06.12.2018</t>
  </si>
  <si>
    <t>13.01.2014-12.01.2019</t>
  </si>
  <si>
    <t>MORALES, Brando Liwanag</t>
  </si>
  <si>
    <t>C1418761</t>
  </si>
  <si>
    <t>09.01.2019-06.01.2029</t>
  </si>
  <si>
    <t>GRANJA, John Ryan Eumenda</t>
  </si>
  <si>
    <t>06.09.94</t>
  </si>
  <si>
    <t>Bacolod City</t>
  </si>
  <si>
    <t>P4850471B</t>
  </si>
  <si>
    <t>C1412230</t>
  </si>
  <si>
    <t>18.02.2020-17.02.2030</t>
  </si>
  <si>
    <t>06.11.2018-03.11.2028</t>
  </si>
  <si>
    <t>ELLORAN, Michael Dela Kruz</t>
  </si>
  <si>
    <t>O/S</t>
  </si>
  <si>
    <t>07.03.74</t>
  </si>
  <si>
    <t>EC5781350</t>
  </si>
  <si>
    <t>B1214894</t>
  </si>
  <si>
    <t>23.10.2015-22.10.2020</t>
  </si>
  <si>
    <t>07.02.2017-05.02.2027</t>
  </si>
  <si>
    <t>MONTANA, Samuel Cuyos</t>
  </si>
  <si>
    <t>Oiler</t>
  </si>
  <si>
    <t>03.11.76</t>
  </si>
  <si>
    <t>DAANBANTAYAN CEBU</t>
  </si>
  <si>
    <t>EC1831241</t>
  </si>
  <si>
    <t>C0240345</t>
  </si>
  <si>
    <t>08.08.2014-07.08.2019</t>
  </si>
  <si>
    <t>28.07.2014-27.07.2019</t>
  </si>
  <si>
    <t>LAYNESA, Enrique Regulado</t>
  </si>
  <si>
    <t>08.05.93</t>
  </si>
  <si>
    <t>MAGARAO, CAMARINES SUR</t>
  </si>
  <si>
    <t>CABALLES, Randy Bagcat</t>
  </si>
  <si>
    <t>28.01.93</t>
  </si>
  <si>
    <t>Tandag, Surigao Del Sur</t>
  </si>
  <si>
    <t>P9072137A</t>
  </si>
  <si>
    <t>C1397537</t>
  </si>
  <si>
    <t>09.10.2018-08.10.2028</t>
  </si>
  <si>
    <t>21.09.2018-18.09.2028</t>
  </si>
  <si>
    <t>DE LOS SANTOS, Jio Tejado</t>
  </si>
  <si>
    <t>21.03.94</t>
  </si>
  <si>
    <t>ILOILO CITY</t>
  </si>
  <si>
    <t>P6274194A</t>
  </si>
  <si>
    <t>C1228273</t>
  </si>
  <si>
    <t>03.03.2018-02.03.2028</t>
  </si>
  <si>
    <t>19.03.2018-16.03.2028</t>
  </si>
  <si>
    <t>ABALO, Jaymar Rius</t>
  </si>
  <si>
    <t>03.12.93</t>
  </si>
  <si>
    <t>Naga, Cebu</t>
  </si>
  <si>
    <t>P8254539A</t>
  </si>
  <si>
    <t>C1004708</t>
  </si>
  <si>
    <t>07.08.2018-06.08.2028</t>
  </si>
  <si>
    <t>18.04.2017-16.04.2027</t>
  </si>
  <si>
    <t>BIANSON, Joffry Aliste</t>
  </si>
  <si>
    <t>08.06.88</t>
  </si>
  <si>
    <t>Antique</t>
  </si>
  <si>
    <t>P1900008A</t>
  </si>
  <si>
    <t>C1343879</t>
  </si>
  <si>
    <t>08.02.2017-07.02.2022</t>
  </si>
  <si>
    <t>26.02.2019-26.02.2029</t>
  </si>
  <si>
    <t>ALATRACA, Dexter Centina</t>
  </si>
  <si>
    <t>19.03.70</t>
  </si>
  <si>
    <t>Surigao City</t>
  </si>
  <si>
    <t>EB9302480</t>
  </si>
  <si>
    <t>C0141458</t>
  </si>
  <si>
    <t>04.10.2013-03.10.2018</t>
  </si>
  <si>
    <t>01.10.2013-30.09.2018</t>
  </si>
  <si>
    <t>BUSTAMANTE, Kenneth Lumacang</t>
  </si>
  <si>
    <t>27.12.97</t>
  </si>
  <si>
    <t>MARIKINA CITY</t>
  </si>
  <si>
    <t>P6519929B</t>
  </si>
  <si>
    <t>C1061689</t>
  </si>
  <si>
    <t>19.03.2021-18.03.2031</t>
  </si>
  <si>
    <t>29.05.2017-27.05.2027</t>
  </si>
  <si>
    <t>MALICSI, Raymond Alcoriza</t>
  </si>
  <si>
    <t>27.07.98</t>
  </si>
  <si>
    <t>MALOLOS BULACAN</t>
  </si>
  <si>
    <t>P7230849A</t>
  </si>
  <si>
    <t>GONCHARENKO, Bohdan</t>
  </si>
  <si>
    <t>05.07.01</t>
  </si>
  <si>
    <t>FT364491</t>
  </si>
  <si>
    <t>AB657886</t>
  </si>
  <si>
    <t>27.11.2018-27.11.2028</t>
  </si>
  <si>
    <t>24.06.2019-24.06.2024</t>
  </si>
  <si>
    <t>RYBALCHENKO, Danylo</t>
  </si>
  <si>
    <t>22.09.00</t>
  </si>
  <si>
    <t>Ukraine, Donetsk Reg.</t>
  </si>
  <si>
    <t>FM754744</t>
  </si>
  <si>
    <t>AB642678</t>
  </si>
  <si>
    <t>06.04.2018-06.04.2028</t>
  </si>
  <si>
    <t>25.03.2019-25.03.2024</t>
  </si>
  <si>
    <t>MOTOL, Neil Ivan Limchu</t>
  </si>
  <si>
    <t>19.10.97</t>
  </si>
  <si>
    <t>Gasan, Marinduque</t>
  </si>
  <si>
    <t>P0459386A</t>
  </si>
  <si>
    <t>C0881463</t>
  </si>
  <si>
    <t>01.10.2016-30.09.2021</t>
  </si>
  <si>
    <t>29.07.2016-27.07.2026</t>
  </si>
  <si>
    <t xml:space="preserve">  1.Name of Ship</t>
  </si>
  <si>
    <t>Call Sign</t>
  </si>
  <si>
    <t xml:space="preserve">  2.Port of Arrival</t>
  </si>
  <si>
    <t xml:space="preserve">  3.Date of Arrival</t>
  </si>
  <si>
    <t xml:space="preserve">  4.Nationality of Ship</t>
  </si>
  <si>
    <t xml:space="preserve"> 5. Homeport</t>
  </si>
  <si>
    <t xml:space="preserve">  6.Port arrived from</t>
  </si>
  <si>
    <t>7.Sailing to</t>
  </si>
  <si>
    <t>8. Voy. No.</t>
  </si>
  <si>
    <t>9. Last Port of Call</t>
  </si>
  <si>
    <t>10. Country</t>
  </si>
  <si>
    <t>11.Date of Arrival</t>
  </si>
  <si>
    <t xml:space="preserve">  12. Time of arrival</t>
  </si>
  <si>
    <t>13.Date of Departure</t>
  </si>
  <si>
    <t>14. Time of Departure</t>
  </si>
  <si>
    <t>Local Time</t>
  </si>
  <si>
    <t>IMO No.  9 3 7 6 0 4 8</t>
  </si>
  <si>
    <t>Security Form 3</t>
  </si>
  <si>
    <t>CALL SIGN: 5 B G V 2</t>
  </si>
  <si>
    <t>Last 10 Ports of Call</t>
  </si>
  <si>
    <t xml:space="preserve">Vessel Name: </t>
  </si>
  <si>
    <t>mv HANNA</t>
  </si>
  <si>
    <t>Arrival Date:</t>
  </si>
  <si>
    <t>Nationality of Ship:</t>
  </si>
  <si>
    <t>Last Port:</t>
  </si>
  <si>
    <t xml:space="preserve">Port of Registry: </t>
  </si>
  <si>
    <t xml:space="preserve">Limmasol </t>
  </si>
  <si>
    <t>Next Port:</t>
  </si>
  <si>
    <t>IMO Port Facility Number *</t>
  </si>
  <si>
    <t>Arrival</t>
  </si>
  <si>
    <t>Departure</t>
  </si>
  <si>
    <t>Security Level / Change of Level</t>
  </si>
  <si>
    <t>DOS signed</t>
  </si>
  <si>
    <t>Additional Temporary Security Measures</t>
  </si>
  <si>
    <t>or alternatively</t>
  </si>
  <si>
    <t>Country, Port, Facility</t>
  </si>
  <si>
    <t>date</t>
  </si>
  <si>
    <t>time</t>
  </si>
  <si>
    <t>ship</t>
  </si>
  <si>
    <t>shore</t>
  </si>
  <si>
    <t>to</t>
  </si>
  <si>
    <t>yes</t>
  </si>
  <si>
    <t>no</t>
  </si>
  <si>
    <t>(if applicable)</t>
  </si>
  <si>
    <t>-</t>
  </si>
  <si>
    <t>n/a</t>
  </si>
  <si>
    <t>x</t>
  </si>
  <si>
    <t>gangway watch maintaned, safety and security patrol carried out frequently</t>
  </si>
  <si>
    <t>Pre Arrival Notifications are required to be kept on board for at least the last 10 ports of call (or 90 days, whichever is the longer period). 
Such list can be kept in an electronic way for faster exchange with port authorities.</t>
  </si>
  <si>
    <t>* Port Facility Numbers are to be found on attached CD-ROM</t>
  </si>
  <si>
    <t>sign and stamp</t>
  </si>
  <si>
    <t>Master:</t>
  </si>
  <si>
    <t>Revision</t>
  </si>
  <si>
    <t>Checked by</t>
  </si>
  <si>
    <t>Date effective</t>
  </si>
  <si>
    <t>Page</t>
  </si>
  <si>
    <t>CSO</t>
  </si>
  <si>
    <t>1 of 1</t>
  </si>
  <si>
    <t>IMO CREW LIST</t>
  </si>
  <si>
    <t xml:space="preserve">  Page No.</t>
  </si>
  <si>
    <t xml:space="preserve">  Arrival</t>
  </si>
  <si>
    <t xml:space="preserve">  Departure</t>
  </si>
  <si>
    <t xml:space="preserve">  1.   Name of ship</t>
  </si>
  <si>
    <r>
      <rPr>
        <sz val="7"/>
        <rFont val="Arial"/>
        <family val="2"/>
        <charset val="1"/>
      </rPr>
      <t xml:space="preserve">  2.   Port of</t>
    </r>
    <r>
      <rPr>
        <u/>
        <sz val="7"/>
        <rFont val="Arial"/>
        <family val="2"/>
        <charset val="1"/>
      </rPr>
      <t xml:space="preserve"> arrival </t>
    </r>
    <r>
      <rPr>
        <sz val="7"/>
        <rFont val="Arial"/>
        <family val="2"/>
        <charset val="1"/>
      </rPr>
      <t>/ departure</t>
    </r>
  </si>
  <si>
    <r>
      <rPr>
        <sz val="6"/>
        <rFont val="Arial"/>
        <family val="2"/>
        <charset val="1"/>
      </rPr>
      <t xml:space="preserve">  3.   Date of</t>
    </r>
    <r>
      <rPr>
        <u/>
        <sz val="6"/>
        <rFont val="Arial"/>
        <family val="2"/>
        <charset val="1"/>
      </rPr>
      <t xml:space="preserve"> arrival</t>
    </r>
    <r>
      <rPr>
        <sz val="6"/>
        <rFont val="Arial"/>
        <family val="2"/>
        <charset val="1"/>
      </rPr>
      <t xml:space="preserve"> / departure</t>
    </r>
  </si>
  <si>
    <t xml:space="preserve">  4.   Nationality of Ship</t>
  </si>
  <si>
    <t xml:space="preserve">  5.   Port arrived from / Sailing to</t>
  </si>
  <si>
    <t xml:space="preserve">  5.   Nature und No. 
        of identity documents</t>
  </si>
  <si>
    <t>/</t>
  </si>
  <si>
    <t xml:space="preserve">7.   No. </t>
  </si>
  <si>
    <t xml:space="preserve">  8.   Family names, given names</t>
  </si>
  <si>
    <t xml:space="preserve">  9.   Rank or rating</t>
  </si>
  <si>
    <t xml:space="preserve">  10.   Nationality</t>
  </si>
  <si>
    <t xml:space="preserve">  11.   Date and place of birth</t>
  </si>
  <si>
    <t>IMO Convention on Facilitation of International Maritime Traffic</t>
  </si>
  <si>
    <t>IMO FAL
Form 5</t>
  </si>
  <si>
    <t xml:space="preserve">  12.  Date and signature by master, authorised agent or officer</t>
  </si>
  <si>
    <r>
      <rPr>
        <sz val="6"/>
        <rFont val="Arial"/>
        <family val="2"/>
        <charset val="1"/>
      </rPr>
      <t xml:space="preserve">  2.   Port of</t>
    </r>
    <r>
      <rPr>
        <strike/>
        <sz val="6"/>
        <rFont val="Arial"/>
        <family val="2"/>
        <charset val="1"/>
      </rPr>
      <t xml:space="preserve"> arrival </t>
    </r>
    <r>
      <rPr>
        <sz val="6"/>
        <rFont val="Arial"/>
        <family val="2"/>
        <charset val="1"/>
      </rPr>
      <t xml:space="preserve">/ </t>
    </r>
    <r>
      <rPr>
        <u/>
        <sz val="6"/>
        <rFont val="Arial"/>
        <family val="2"/>
        <charset val="1"/>
      </rPr>
      <t>departure</t>
    </r>
  </si>
  <si>
    <t xml:space="preserve">  5.   Port of destination</t>
  </si>
  <si>
    <t xml:space="preserve">  7.   No. </t>
  </si>
  <si>
    <t>PT(August 2003)</t>
  </si>
  <si>
    <t>IMO CREW'S EFFECTS DECLARATION</t>
  </si>
  <si>
    <t xml:space="preserve">  2.   Effects which are dutiable or subject to prohibitions or restrictions (*)</t>
  </si>
  <si>
    <t xml:space="preserve">  3.  Nationality of Ship</t>
  </si>
  <si>
    <t>Cigarettes</t>
  </si>
  <si>
    <t>Spirirts (Ltr)</t>
  </si>
  <si>
    <t>Wines (Ltr)</t>
  </si>
  <si>
    <t>Others</t>
  </si>
  <si>
    <t>ALL CREW NAMES ARE</t>
  </si>
  <si>
    <t xml:space="preserve">  4.  No</t>
  </si>
  <si>
    <t xml:space="preserve">  5.   Family name, given names</t>
  </si>
  <si>
    <t xml:space="preserve">  6.   Rank or
        rating</t>
  </si>
  <si>
    <t xml:space="preserve">  7.   Signature</t>
  </si>
  <si>
    <t>UPDATED FROM "CREW DEP"</t>
  </si>
  <si>
    <t>NIL</t>
  </si>
  <si>
    <t>- P. E. -</t>
  </si>
  <si>
    <t>NAMES OF PASSENGERS UPDATED FROM "PAX (A)"</t>
  </si>
  <si>
    <t>8.  Date and signature by master, authorised agent or officer</t>
  </si>
  <si>
    <t>IMO FAL</t>
  </si>
  <si>
    <t xml:space="preserve">  (*) eg wines, sprits, cigarettes, tobacco, etc.</t>
  </si>
  <si>
    <t>IMO SHIP'S STORES DECLARATION</t>
  </si>
  <si>
    <t>X</t>
  </si>
  <si>
    <r>
      <rPr>
        <sz val="6"/>
        <rFont val="Arial"/>
        <family val="2"/>
        <charset val="1"/>
      </rPr>
      <t xml:space="preserve">  2.   Port of arrival</t>
    </r>
    <r>
      <rPr>
        <u/>
        <sz val="6"/>
        <rFont val="Arial"/>
        <family val="2"/>
        <charset val="204"/>
      </rPr>
      <t xml:space="preserve"> </t>
    </r>
    <r>
      <rPr>
        <sz val="6"/>
        <rFont val="Arial"/>
        <family val="2"/>
        <charset val="1"/>
      </rPr>
      <t>/</t>
    </r>
    <r>
      <rPr>
        <sz val="6"/>
        <rFont val="Arial"/>
        <family val="2"/>
        <charset val="204"/>
      </rPr>
      <t xml:space="preserve"> departure</t>
    </r>
  </si>
  <si>
    <r>
      <rPr>
        <sz val="6"/>
        <rFont val="Arial"/>
        <family val="2"/>
        <charset val="1"/>
      </rPr>
      <t xml:space="preserve">  3.   Date of arrival / </t>
    </r>
    <r>
      <rPr>
        <sz val="6"/>
        <rFont val="Arial"/>
        <family val="2"/>
        <charset val="204"/>
      </rPr>
      <t>departure</t>
    </r>
  </si>
  <si>
    <t xml:space="preserve">  5.   Port arrived from / Port of Destination</t>
  </si>
  <si>
    <t xml:space="preserve">  6.   Number of Persons on board</t>
  </si>
  <si>
    <t xml:space="preserve">  7.   Period of stay</t>
  </si>
  <si>
    <t xml:space="preserve">  8.   Place of storage</t>
  </si>
  <si>
    <t>Provision Room</t>
  </si>
  <si>
    <t xml:space="preserve">  9.   Name of article</t>
  </si>
  <si>
    <t xml:space="preserve">  10.   Quantity</t>
  </si>
  <si>
    <t xml:space="preserve"> 11.   For official use</t>
  </si>
  <si>
    <t>Pcs</t>
  </si>
  <si>
    <t>Cigars</t>
  </si>
  <si>
    <t>Tobacco</t>
  </si>
  <si>
    <t>grm</t>
  </si>
  <si>
    <t>Spirits 35-42 %</t>
  </si>
  <si>
    <t>1 ltr</t>
  </si>
  <si>
    <t>Fortified wine 18%</t>
  </si>
  <si>
    <t>LTR</t>
  </si>
  <si>
    <t>Wine 10-13%</t>
  </si>
  <si>
    <t xml:space="preserve">Liqueurs </t>
  </si>
  <si>
    <t>0,75 ltr</t>
  </si>
  <si>
    <t>Beer</t>
  </si>
  <si>
    <t>Ltr</t>
  </si>
  <si>
    <t>Arms &amp; Ammunition</t>
  </si>
  <si>
    <t>Form 3</t>
  </si>
  <si>
    <t>IMO PASSENGER LIST</t>
  </si>
  <si>
    <r>
      <rPr>
        <sz val="6"/>
        <rFont val="Arial"/>
        <family val="2"/>
        <charset val="1"/>
      </rPr>
      <t xml:space="preserve">  2.   Port of</t>
    </r>
    <r>
      <rPr>
        <u/>
        <sz val="6"/>
        <rFont val="Arial"/>
        <family val="2"/>
        <charset val="1"/>
      </rPr>
      <t xml:space="preserve"> arrival </t>
    </r>
    <r>
      <rPr>
        <sz val="6"/>
        <rFont val="Arial"/>
        <family val="2"/>
        <charset val="1"/>
      </rPr>
      <t>/ departure</t>
    </r>
  </si>
  <si>
    <r>
      <rPr>
        <sz val="6"/>
        <rFont val="Arial"/>
        <family val="2"/>
        <charset val="1"/>
      </rPr>
      <t xml:space="preserve">  2.   Port of</t>
    </r>
    <r>
      <rPr>
        <u/>
        <sz val="6"/>
        <rFont val="Arial"/>
        <family val="2"/>
        <charset val="1"/>
      </rPr>
      <t xml:space="preserve"> </t>
    </r>
    <r>
      <rPr>
        <sz val="6"/>
        <rFont val="Arial"/>
        <family val="2"/>
        <charset val="1"/>
      </rPr>
      <t xml:space="preserve">arrival / </t>
    </r>
    <r>
      <rPr>
        <u/>
        <sz val="6"/>
        <rFont val="Arial"/>
        <family val="2"/>
        <charset val="1"/>
      </rPr>
      <t>departure</t>
    </r>
  </si>
  <si>
    <t xml:space="preserve">  3.   Date of arrival / departure</t>
  </si>
  <si>
    <t>COPENHAGEN</t>
  </si>
  <si>
    <t>NARCOTICS LIST</t>
  </si>
  <si>
    <t xml:space="preserve">  Page No. 1</t>
  </si>
  <si>
    <t>Port of arrival</t>
  </si>
  <si>
    <t>Date:</t>
  </si>
  <si>
    <t>Port Arrived from</t>
  </si>
  <si>
    <t>Port of Destination</t>
  </si>
  <si>
    <t>No.</t>
  </si>
  <si>
    <t>Medicines Name</t>
  </si>
  <si>
    <t>Quantity</t>
  </si>
  <si>
    <t>Units</t>
  </si>
  <si>
    <t>Total Quantity</t>
  </si>
  <si>
    <t>Expiration Date</t>
  </si>
  <si>
    <t>Control no.</t>
  </si>
  <si>
    <t>Place of Storage</t>
  </si>
  <si>
    <t>NIL  LIST</t>
  </si>
  <si>
    <t>Vessel:</t>
  </si>
  <si>
    <t>Port:</t>
  </si>
  <si>
    <t>Port of registry:</t>
  </si>
  <si>
    <t>THERE ARE NO ANIMALS AND BIRDS ON BOARD.</t>
  </si>
  <si>
    <t>THERE ARE NO ARMS AND AMMUNITIONS ON BOARD.</t>
  </si>
  <si>
    <t>THERE ARE NO STOWAWAYS ON BOARD.</t>
  </si>
  <si>
    <t>CREW MONEY LIST</t>
  </si>
  <si>
    <t>2. Currency</t>
  </si>
  <si>
    <t>USD</t>
  </si>
  <si>
    <t>EURO</t>
  </si>
  <si>
    <t>Received</t>
  </si>
  <si>
    <t>Signature</t>
  </si>
  <si>
    <t>EUR</t>
  </si>
  <si>
    <t>TOTAL:</t>
  </si>
  <si>
    <t xml:space="preserve">Master </t>
  </si>
  <si>
    <t>List of Smokers</t>
  </si>
  <si>
    <t xml:space="preserve">  (Name of Shipping Line / Agent etc.)</t>
  </si>
  <si>
    <t xml:space="preserve">  3.Date</t>
  </si>
  <si>
    <t xml:space="preserve">  8.No.   9. Family Name, given Names</t>
  </si>
  <si>
    <t>"I am a smoker" please indicate "YES" or "NO"</t>
  </si>
  <si>
    <t xml:space="preserve">If smoking please indicate approx. consumption per day (pieces of cigarettes) </t>
  </si>
  <si>
    <t>ONLY stand by in EGYPT</t>
  </si>
  <si>
    <t>___________________</t>
  </si>
  <si>
    <t>Vaccination  List</t>
  </si>
  <si>
    <t xml:space="preserve">  Voyage No.</t>
  </si>
  <si>
    <t>7.Date of Departure</t>
  </si>
  <si>
    <t xml:space="preserve">  10. Yellow Fever</t>
  </si>
  <si>
    <t xml:space="preserve">  11. Cholera</t>
  </si>
  <si>
    <t xml:space="preserve">  12. Typhus</t>
  </si>
  <si>
    <t>13. Hepatitis A</t>
  </si>
  <si>
    <t>14.Polio</t>
  </si>
  <si>
    <t>15. Diphteria</t>
  </si>
  <si>
    <t>15. Tetanus</t>
  </si>
  <si>
    <t>MARITIME DECLARATION OF HEALTH</t>
  </si>
  <si>
    <t>Port of</t>
  </si>
  <si>
    <t>Date</t>
  </si>
  <si>
    <t>Time</t>
  </si>
  <si>
    <t>&lt;=== correct time</t>
  </si>
  <si>
    <t>Name of Vessel</t>
  </si>
  <si>
    <t>From</t>
  </si>
  <si>
    <t>To</t>
  </si>
  <si>
    <t>Master's Name</t>
  </si>
  <si>
    <t>Net Registered Tonnage</t>
  </si>
  <si>
    <r>
      <rPr>
        <u/>
        <sz val="10"/>
        <rFont val="Times New Roman"/>
        <family val="1"/>
        <charset val="1"/>
      </rPr>
      <t xml:space="preserve">Agent </t>
    </r>
    <r>
      <rPr>
        <sz val="10"/>
        <rFont val="Times New Roman"/>
        <family val="1"/>
        <charset val="1"/>
      </rPr>
      <t>or  Owner</t>
    </r>
  </si>
  <si>
    <t>CMA-CGM</t>
  </si>
  <si>
    <t>&lt;=== correct agent</t>
  </si>
  <si>
    <t>Ship's Sanitation Certificate</t>
  </si>
  <si>
    <t>Issued at</t>
  </si>
  <si>
    <t>Dated</t>
  </si>
  <si>
    <t>Water test:</t>
  </si>
  <si>
    <t>First Class</t>
  </si>
  <si>
    <t>nil</t>
  </si>
  <si>
    <t>No. of Crew</t>
  </si>
  <si>
    <t xml:space="preserve">No. of </t>
  </si>
  <si>
    <t>Cabin Class</t>
  </si>
  <si>
    <t>&lt;=== correct pax</t>
  </si>
  <si>
    <t>Passengers</t>
  </si>
  <si>
    <t>Tourist Class</t>
  </si>
  <si>
    <t>Third Class</t>
  </si>
  <si>
    <t>List of Ports of call from commencement of voyage with dates of departure</t>
  </si>
  <si>
    <t>DEPARTURE</t>
  </si>
  <si>
    <t>PORT</t>
  </si>
  <si>
    <t>Health Questions</t>
  </si>
  <si>
    <t>1. Has there been on board during the voyage any case or suspected case of plague</t>
  </si>
  <si>
    <t>No</t>
  </si>
  <si>
    <t>cholera, yellow fever, typhus fever, or smallpox? Give particulars in the schedule</t>
  </si>
  <si>
    <t>Has plague occured or been suspected among the rats or mice on board during the voyage</t>
  </si>
  <si>
    <t>or has there been an unusual mortality rate among them?</t>
  </si>
  <si>
    <t>3. Has any person died on board during the voyage other than as a result of an accident?</t>
  </si>
  <si>
    <t>Give particulars in the schedule.</t>
  </si>
  <si>
    <t>4. Is there on board or has there been during the voyage any case of illnes</t>
  </si>
  <si>
    <t>which You suspect to be of an infectious nature? Give particulars in the schedule</t>
  </si>
  <si>
    <t>5. Is there any sick person on board now? Give particulars in the schedule.</t>
  </si>
  <si>
    <t>Note:</t>
  </si>
  <si>
    <t>In the absence of a Surgeon, the master should regard the following symptoms</t>
  </si>
  <si>
    <t>as grounds for suspecting the existence of infectious disease:</t>
  </si>
  <si>
    <t>fever accompanied by prostation persisting fpr several days, or attended with</t>
  </si>
  <si>
    <t>glandular swelling; or any acute skin rash or erruption with or without fever;</t>
  </si>
  <si>
    <t>severe diarrhoea with symptoms of collapse; jaindice accompanied by fever.</t>
  </si>
  <si>
    <t>6. Are You aware of any other condition on board which may lead to infection or the spread</t>
  </si>
  <si>
    <t>of infectious disease?</t>
  </si>
  <si>
    <t>I hereby declare that the particulars and answers to the question given in this Declaration of Health</t>
  </si>
  <si>
    <t>(including the Schedule) are true and correct to the best of my knowledge and belief.</t>
  </si>
  <si>
    <t>Signed</t>
  </si>
  <si>
    <t>IMO NO.</t>
  </si>
  <si>
    <t>AGENT</t>
  </si>
  <si>
    <t xml:space="preserve">        N/A</t>
  </si>
  <si>
    <t>Place/Date</t>
  </si>
  <si>
    <t>Countersigned</t>
  </si>
  <si>
    <t>Ship's Surgeon</t>
  </si>
  <si>
    <t>GOTHENBURG</t>
  </si>
  <si>
    <t>HELSINGBORG</t>
  </si>
  <si>
    <t>Vald. Andersons Shipagency</t>
  </si>
  <si>
    <t xml:space="preserve">                                                                  ATTACHMENT TO MODEL OF MARITIME DECLARATION OF HEALTH</t>
  </si>
  <si>
    <t>Comments</t>
  </si>
  <si>
    <t>* State: (1) whether the person recovered, is still ill or died; and (2) whether the person is still on board, was evacuated (including the name of the port or airport), or was buried at sea.</t>
  </si>
  <si>
    <t xml:space="preserve">Drugs, medicines or other treatment given to patient </t>
  </si>
  <si>
    <t>Disposal of case*</t>
  </si>
  <si>
    <t>Reported to a port medical officer?</t>
  </si>
  <si>
    <t>Date of onset of symptoms</t>
  </si>
  <si>
    <t>Nature of illness</t>
  </si>
  <si>
    <t>Port, date joined ship/vessel</t>
  </si>
  <si>
    <t>Sex</t>
  </si>
  <si>
    <t>Age</t>
  </si>
  <si>
    <t>Class or rating</t>
  </si>
  <si>
    <t>Name</t>
  </si>
  <si>
    <t>CREW CONTACT INFORMATION</t>
  </si>
  <si>
    <t xml:space="preserve"> No. </t>
  </si>
  <si>
    <t>**CAPTAIN STANDING ORDER!!! All Crew, must inform duty officer and update their contact details before going ashore.</t>
  </si>
  <si>
    <t>TURA, JIFFORD BETACHE</t>
  </si>
  <si>
    <t>09.06.99</t>
  </si>
  <si>
    <t>CALUBIAN LEYTE</t>
  </si>
  <si>
    <t>P1323614B</t>
  </si>
  <si>
    <t>C1558260</t>
  </si>
  <si>
    <t>02.04.2019-01.04.2029</t>
  </si>
  <si>
    <t>04.12.2019-04.12.2029</t>
  </si>
  <si>
    <t>C1389960</t>
  </si>
  <si>
    <t>20.03.2019-19.03.2029</t>
  </si>
  <si>
    <t>06.08.2019-06.08.2029</t>
  </si>
  <si>
    <t>GULLAS, James Villapana</t>
  </si>
  <si>
    <t>P5732609B</t>
  </si>
  <si>
    <t>FRANCO, Benjamin Almariego</t>
  </si>
  <si>
    <t>San Pedro Laguna</t>
  </si>
  <si>
    <t>P6754303B</t>
  </si>
  <si>
    <t>NANAGAD, Ronie Jr. Salmin</t>
  </si>
  <si>
    <t>P5136208B</t>
  </si>
  <si>
    <t xml:space="preserve">  6.   Nature und No. 
        of identity documents</t>
  </si>
  <si>
    <t>BIDEI, Denys</t>
  </si>
  <si>
    <t>GA878245</t>
  </si>
  <si>
    <t>AC009327</t>
  </si>
  <si>
    <t>04.08.2021-04.08.2031</t>
  </si>
  <si>
    <t>03.08.2023-03.08.2028</t>
  </si>
  <si>
    <t>THERE ARE NO PASSENGERS ON BOARD.</t>
  </si>
  <si>
    <t>Ukraine , Odessa</t>
  </si>
  <si>
    <t>FRANCE</t>
  </si>
  <si>
    <t>FRLEH</t>
  </si>
  <si>
    <t>FRMTX</t>
  </si>
  <si>
    <t>02.11.2023-02.11.2033</t>
  </si>
  <si>
    <t>P3901669B</t>
  </si>
  <si>
    <t>C1564756</t>
  </si>
  <si>
    <t>20.11.2019-19.11.2029</t>
  </si>
  <si>
    <t>02.12.2019-02.12.2029</t>
  </si>
  <si>
    <t xml:space="preserve">P2921171C </t>
  </si>
  <si>
    <t>A0240068</t>
  </si>
  <si>
    <t>13.01.2023-12.01.2033</t>
  </si>
  <si>
    <t>28.12.2022-28.12.2032</t>
  </si>
  <si>
    <t>LABISTE, Unity Venus Balindres</t>
  </si>
  <si>
    <t>MABILANGAN, Ron Billy Montoya</t>
  </si>
  <si>
    <t>LAURENTE, Artemio Belza</t>
  </si>
  <si>
    <t>P7267880B</t>
  </si>
  <si>
    <t>A0075212</t>
  </si>
  <si>
    <t>26.07.2021-25.07.2031</t>
  </si>
  <si>
    <t>24.02.2020-24.02.2030</t>
  </si>
  <si>
    <t>San Agustin, SDS</t>
  </si>
  <si>
    <t>Barugo, Leyte</t>
  </si>
  <si>
    <t>Tanjay Neg. OR</t>
  </si>
  <si>
    <t>Oslob, Cebu</t>
  </si>
  <si>
    <t>Oton, Iloilo</t>
  </si>
  <si>
    <t>Silang, Cavite</t>
  </si>
  <si>
    <t>Taytay Palawan</t>
  </si>
  <si>
    <t>P7619045A</t>
  </si>
  <si>
    <t>BOHOL, Donjie Ompad</t>
  </si>
  <si>
    <t>C1281959</t>
  </si>
  <si>
    <t>21.06.2018-20.06.2028</t>
  </si>
  <si>
    <t>24.08.2018-21.08.2028</t>
  </si>
  <si>
    <r>
      <t xml:space="preserve">  3.   Date of </t>
    </r>
    <r>
      <rPr>
        <strike/>
        <sz val="6"/>
        <rFont val="Arial"/>
        <family val="2"/>
      </rPr>
      <t>arrival</t>
    </r>
    <r>
      <rPr>
        <sz val="6"/>
        <rFont val="Arial"/>
        <family val="2"/>
        <charset val="1"/>
      </rPr>
      <t xml:space="preserve"> / </t>
    </r>
    <r>
      <rPr>
        <u/>
        <sz val="6"/>
        <rFont val="Arial"/>
        <family val="2"/>
        <charset val="1"/>
      </rPr>
      <t>departure</t>
    </r>
  </si>
  <si>
    <t>USSR, Alma-Ata</t>
  </si>
  <si>
    <t>Passport's Validity</t>
  </si>
  <si>
    <t>S/book's Validity</t>
  </si>
  <si>
    <t>763732667</t>
  </si>
  <si>
    <t>18.09.2018-13.09.2028</t>
  </si>
  <si>
    <t>CHERVIAK, Oleksandr</t>
  </si>
  <si>
    <t>Ukraine, Ternopil</t>
  </si>
  <si>
    <t>773335811</t>
  </si>
  <si>
    <t>03.05.2024-03.05.2034</t>
  </si>
  <si>
    <t>Cyprus Seaman's Book</t>
  </si>
  <si>
    <t>Validity</t>
  </si>
  <si>
    <t>Seaman's Book</t>
  </si>
  <si>
    <t>CY266502</t>
  </si>
  <si>
    <t>CY367312</t>
  </si>
  <si>
    <t>CY324861</t>
  </si>
  <si>
    <t>CY303693</t>
  </si>
  <si>
    <t>CY380063</t>
  </si>
  <si>
    <t>CY316395</t>
  </si>
  <si>
    <t>CY347845</t>
  </si>
  <si>
    <t>CY379524</t>
  </si>
  <si>
    <t>Present Crew Details</t>
  </si>
  <si>
    <t>Charterer:</t>
  </si>
  <si>
    <t>Date and Place of Birth</t>
  </si>
  <si>
    <t>Family Name, Given Names</t>
  </si>
  <si>
    <t>Visa</t>
  </si>
  <si>
    <t>CY306847</t>
  </si>
  <si>
    <t>06.08.2019-05.08.2029</t>
  </si>
  <si>
    <t>Tramadol 100mg/2ml injection</t>
  </si>
  <si>
    <t>20 amps. per box</t>
  </si>
  <si>
    <t>40 amps.</t>
  </si>
  <si>
    <t>01/2029</t>
  </si>
  <si>
    <t>Nr.3.b.2</t>
  </si>
  <si>
    <t>15. Date and signature by master, authorised agent or officer</t>
  </si>
  <si>
    <t>6.   Nature und No. 
        of identity documents</t>
  </si>
  <si>
    <t>CY339478</t>
  </si>
  <si>
    <t>14.02.2022-13.02.2032</t>
  </si>
  <si>
    <t>24.07.2023-23.07.2033</t>
  </si>
  <si>
    <t>24.05.2024-23.05.2034</t>
  </si>
  <si>
    <t>28.04.2020-27.04.2030</t>
  </si>
  <si>
    <t>29.06.2022-28.06.2032</t>
  </si>
  <si>
    <t>28.05.2024-27.05.2034</t>
  </si>
  <si>
    <t>10.05.2019-09.05.2029</t>
  </si>
  <si>
    <t>23.12.2020-22.12.2030</t>
  </si>
  <si>
    <t>07.06.2024-07.06.2025</t>
  </si>
  <si>
    <t>BIOMETRIC</t>
  </si>
  <si>
    <t>10.04.2024-09.04.2026</t>
  </si>
  <si>
    <t>29.01.2023-28.01.2027</t>
  </si>
  <si>
    <t>02.11.2021-02.11.2024</t>
  </si>
  <si>
    <t>10.04.2024-09.10.2024</t>
  </si>
  <si>
    <t>28.04.2024-27.04.2025</t>
  </si>
  <si>
    <t>FRA 607959577</t>
  </si>
  <si>
    <t>NLD 017905326</t>
  </si>
  <si>
    <t>D 067597859</t>
  </si>
  <si>
    <t>FRA 607962093</t>
  </si>
  <si>
    <t>NLD 016572376</t>
  </si>
  <si>
    <t>FRA 607959580</t>
  </si>
  <si>
    <t>Identity Card/</t>
  </si>
  <si>
    <t>Application</t>
  </si>
  <si>
    <t>CY387300</t>
  </si>
  <si>
    <t>31.10.2024-30.10.2034</t>
  </si>
  <si>
    <t>Codeine phosphate 30mg tablets</t>
  </si>
  <si>
    <t>Diazepam injection 5mg/1ml, 2ml</t>
  </si>
  <si>
    <t>Diazepam rectal dispenser 10mg/2.5ml</t>
  </si>
  <si>
    <t>20 tabs. per box</t>
  </si>
  <si>
    <t>60 tabs.</t>
  </si>
  <si>
    <t>10/2026</t>
  </si>
  <si>
    <t>Nr.3.b.1</t>
  </si>
  <si>
    <t xml:space="preserve">Master's Safe  </t>
  </si>
  <si>
    <t>5 amps. per box</t>
  </si>
  <si>
    <t>10 amps.</t>
  </si>
  <si>
    <t>Nr.4.a.1</t>
  </si>
  <si>
    <t>04/2027</t>
  </si>
  <si>
    <t>Nr.4.d.0</t>
  </si>
  <si>
    <t>29.07.2019-21.11.2028</t>
  </si>
  <si>
    <t>LACSON, Joelito Gajeto</t>
  </si>
  <si>
    <t>P3062500C</t>
  </si>
  <si>
    <t>26.01.2023-25.01.2033</t>
  </si>
  <si>
    <t>A0024727</t>
  </si>
  <si>
    <t>04.03.2021-04.03.2031</t>
  </si>
  <si>
    <t>CY340880</t>
  </si>
  <si>
    <t>21.02.2022-20.02.2032</t>
  </si>
  <si>
    <t>Bago City</t>
  </si>
  <si>
    <t>FRA 610507931</t>
  </si>
  <si>
    <t>26.11.2024-26.02.2025</t>
  </si>
  <si>
    <t>CY354917</t>
  </si>
  <si>
    <t>23.01.2023-22.01.2033</t>
  </si>
  <si>
    <t>NLD018309238</t>
  </si>
  <si>
    <t>16.11.2024-16.11.2025</t>
  </si>
  <si>
    <t>26.04.2017-25.04.2027</t>
  </si>
  <si>
    <t>VELAYO, Christian Saniel</t>
  </si>
  <si>
    <t>Ozamiz City</t>
  </si>
  <si>
    <t>P6356333B</t>
  </si>
  <si>
    <t>C1132363</t>
  </si>
  <si>
    <t>22.02.2021-21.02.2031</t>
  </si>
  <si>
    <t>23.03.2018-20.03.2028</t>
  </si>
  <si>
    <t>ORQUIA, Ryan Bebayo</t>
  </si>
  <si>
    <t>P5987073B</t>
  </si>
  <si>
    <t>C0901905</t>
  </si>
  <si>
    <t>19.12.2020-18.12.2030</t>
  </si>
  <si>
    <t>02.11.2016-31.10.2026</t>
  </si>
  <si>
    <t>Buenavista, Guimaras</t>
  </si>
  <si>
    <t>20.02.2024-19.02.2029</t>
  </si>
  <si>
    <t>FRA 610510685</t>
  </si>
  <si>
    <t>13.01.2025-12.01.2027</t>
  </si>
  <si>
    <t>CY391271</t>
  </si>
  <si>
    <t>20.01.2025-19.01.2035</t>
  </si>
  <si>
    <t>P7231089B</t>
  </si>
  <si>
    <t>20.02.2024-19.02.2026</t>
  </si>
  <si>
    <t>D 069161456</t>
  </si>
  <si>
    <t>ENGLE, Eric Gentio</t>
  </si>
  <si>
    <t>Trento, Agusan Del Sur</t>
  </si>
  <si>
    <t>P8162062A</t>
  </si>
  <si>
    <t>DAMASCO, Ronel Castro</t>
  </si>
  <si>
    <t>Surallah, South Cotabato</t>
  </si>
  <si>
    <t>P2275974C</t>
  </si>
  <si>
    <t>31.07.2018-30.07.2028</t>
  </si>
  <si>
    <t>FRA 610518127</t>
  </si>
  <si>
    <t>16.04.2025-15.04.2026</t>
  </si>
  <si>
    <t>A0057953</t>
  </si>
  <si>
    <t>29.10.2021-29.10.2031</t>
  </si>
  <si>
    <t>05.11.2022-04.11.2032</t>
  </si>
  <si>
    <t>D 070096720</t>
  </si>
  <si>
    <t>14.08.2024-13.08.2025</t>
  </si>
  <si>
    <t>A0226233</t>
  </si>
  <si>
    <t>27.12.2022-27.12.2032</t>
  </si>
  <si>
    <t>MARTIZANO, Allan Jr. Miguel</t>
  </si>
  <si>
    <t>P7527185B</t>
  </si>
  <si>
    <t>A0183156</t>
  </si>
  <si>
    <t>06.09.2021-05.09.2031</t>
  </si>
  <si>
    <t>24.01.2022-24.01.2032</t>
  </si>
  <si>
    <t>P0064536B</t>
  </si>
  <si>
    <t>28.12.2018-27.12.2028</t>
  </si>
  <si>
    <t>Altavas, Aklan</t>
  </si>
  <si>
    <t>CY362664</t>
  </si>
  <si>
    <t>23.05.2023-22.05.2033</t>
  </si>
  <si>
    <t>FRA 612553026</t>
  </si>
  <si>
    <t>17.05.2025-16.05.2027</t>
  </si>
  <si>
    <t>Angono, Rizal</t>
  </si>
  <si>
    <t>14.05.2025-14.05.2026</t>
  </si>
  <si>
    <t>5 amps.</t>
  </si>
  <si>
    <t>08/2026</t>
  </si>
  <si>
    <t>MAKAR, Maksym</t>
  </si>
  <si>
    <t>FK832567</t>
  </si>
  <si>
    <t>AC004954</t>
  </si>
  <si>
    <t>12.01.2018-12.01.2028</t>
  </si>
  <si>
    <t>07.10.2022-07.10.2027</t>
  </si>
  <si>
    <t>GARCIA, Ray John Olvido</t>
  </si>
  <si>
    <t>Tanauan, Batangas</t>
  </si>
  <si>
    <t>P8637860A</t>
  </si>
  <si>
    <t>C0829038</t>
  </si>
  <si>
    <t>06.09.2018-05.09.2028</t>
  </si>
  <si>
    <t>21.12.2016-19.12.2026</t>
  </si>
  <si>
    <t>CY385720</t>
  </si>
  <si>
    <t>17.09.2024-16.09.2034</t>
  </si>
  <si>
    <t>FRA 610496175</t>
  </si>
  <si>
    <t>28.07.2024-27.07.2025</t>
  </si>
  <si>
    <t>ROMULO, Roland Bong Rosal</t>
  </si>
  <si>
    <t>Manila</t>
  </si>
  <si>
    <t>P7652618B</t>
  </si>
  <si>
    <t>A0177653</t>
  </si>
  <si>
    <t>21.09.2021-20.09.2031</t>
  </si>
  <si>
    <t>06.01.2022-06.01.2032</t>
  </si>
  <si>
    <t>CY385721</t>
  </si>
  <si>
    <t>SMOKIN, Mykola</t>
  </si>
  <si>
    <t>Ukraine, Izmail</t>
  </si>
  <si>
    <t>GE682659</t>
  </si>
  <si>
    <t>AC014465</t>
  </si>
  <si>
    <t>19.12.2022-19.12.2032</t>
  </si>
  <si>
    <t>19.03.2024-19.03.2029</t>
  </si>
  <si>
    <t>CY388356</t>
  </si>
  <si>
    <t>27.11.2024-26.11.2034</t>
  </si>
  <si>
    <t>BANEZ, John Kenneth Rebundas</t>
  </si>
  <si>
    <t>Malolos, Bulacan</t>
  </si>
  <si>
    <t>P1370110C</t>
  </si>
  <si>
    <t>A0195751</t>
  </si>
  <si>
    <t>18.08.2022-17.08.2032</t>
  </si>
  <si>
    <t>20.06.2022-20.06.2032</t>
  </si>
  <si>
    <t>CY385020</t>
  </si>
  <si>
    <t>07.08.2024-06.08.2034</t>
  </si>
  <si>
    <t>ABELLANEDA, Julius Garrido</t>
  </si>
  <si>
    <t>Davao City</t>
  </si>
  <si>
    <t>P3545048B</t>
  </si>
  <si>
    <t>C1290651</t>
  </si>
  <si>
    <t>16.10.2019-15.10.2029</t>
  </si>
  <si>
    <t>18.10.2018-15.10.2028</t>
  </si>
  <si>
    <t>D 065409905</t>
  </si>
  <si>
    <t>18.07.2021-17.07.2024</t>
  </si>
  <si>
    <t>CY394540</t>
  </si>
  <si>
    <t>08.07.2025-07.07.2035</t>
  </si>
  <si>
    <t>CY394526</t>
  </si>
  <si>
    <t>08.07.2025-07.07.2025</t>
  </si>
  <si>
    <t>CY249054</t>
  </si>
  <si>
    <t>05.06.2020-05.06.2030</t>
  </si>
  <si>
    <t>FRA 612557957</t>
  </si>
  <si>
    <t>17.07.2025-16.07.2026</t>
  </si>
  <si>
    <t>NLD 018831776</t>
  </si>
  <si>
    <t>23.07.2025-22.07.2026</t>
  </si>
  <si>
    <t>07.01.2016-06.01.2026</t>
  </si>
  <si>
    <t>D 069161643</t>
  </si>
  <si>
    <t>NLD 018439401</t>
  </si>
  <si>
    <t>02.04.2025-01.04.2026</t>
  </si>
  <si>
    <t>776406535</t>
  </si>
  <si>
    <t>03.06.2025-03.06.2035</t>
  </si>
  <si>
    <t>ZADOROZHNY, Sergiy</t>
  </si>
  <si>
    <t>CY397603</t>
  </si>
  <si>
    <t>02.09.2025-01.09.2035</t>
  </si>
  <si>
    <t>CY397608</t>
  </si>
  <si>
    <t>GALLEGO, Rheo Gapoy</t>
  </si>
  <si>
    <t>NVA Valencia GMR</t>
  </si>
  <si>
    <t>P0273177C</t>
  </si>
  <si>
    <t>A0132558</t>
  </si>
  <si>
    <t>27.05.2022-26.05.2032</t>
  </si>
  <si>
    <t>01.07.2022-01.07.2032</t>
  </si>
  <si>
    <t>FRA 612564891</t>
  </si>
  <si>
    <t>19.10.2025-18.10.2026</t>
  </si>
  <si>
    <t>BEL 050899201</t>
  </si>
  <si>
    <t>20.07.2021-19.07.2031</t>
  </si>
  <si>
    <t>FRA 612567161</t>
  </si>
  <si>
    <t>03.11.2025-02.05.2026</t>
  </si>
  <si>
    <t>CY318923</t>
  </si>
  <si>
    <t>13.07.2020-12.07.2030</t>
  </si>
  <si>
    <t>Alger</t>
  </si>
  <si>
    <t>FRA 612567464</t>
  </si>
  <si>
    <t>08.11.2025-07.11.2027</t>
  </si>
  <si>
    <t xml:space="preserve"> Seaman's book        </t>
  </si>
  <si>
    <t>Date of joining the vessel</t>
  </si>
  <si>
    <t>Place of joining the vessel</t>
  </si>
  <si>
    <t>Temperature of each crew member</t>
  </si>
  <si>
    <t>36.6 C</t>
  </si>
  <si>
    <t>36.5 C</t>
  </si>
  <si>
    <t>36.7 C</t>
  </si>
  <si>
    <t>BEANR</t>
  </si>
  <si>
    <t>Joining Date</t>
  </si>
  <si>
    <t>Joining Port</t>
  </si>
  <si>
    <t>Ship money cash declaration</t>
  </si>
  <si>
    <t>ALGER</t>
  </si>
  <si>
    <t>La Spezia</t>
  </si>
  <si>
    <t>Genoa</t>
  </si>
  <si>
    <t>Marseille</t>
  </si>
  <si>
    <t>CY403311</t>
  </si>
  <si>
    <t>16.10.2025-15.10.2035</t>
  </si>
  <si>
    <t>ALGERIA</t>
  </si>
  <si>
    <t>DZALG</t>
  </si>
  <si>
    <t>LA SPEZIA</t>
  </si>
  <si>
    <t>ITALY</t>
  </si>
  <si>
    <t>ITSPE</t>
  </si>
  <si>
    <t>GENOA</t>
  </si>
  <si>
    <t>ITGOA</t>
  </si>
  <si>
    <t>NO PASSENGERS ON BOARD</t>
  </si>
  <si>
    <t>MARSEILLE</t>
  </si>
  <si>
    <t>FRMRS</t>
  </si>
  <si>
    <t>Next Port of Call:</t>
  </si>
  <si>
    <t>Last Port of Call:</t>
  </si>
  <si>
    <t>Payroll of Christmas Bonus from the Owners</t>
  </si>
  <si>
    <t>Crew</t>
  </si>
  <si>
    <t>Email Address</t>
  </si>
  <si>
    <t>Telephone / Email</t>
  </si>
  <si>
    <t xml:space="preserve"> Rank or Rating</t>
  </si>
  <si>
    <t xml:space="preserve"> Family Names, Given Names</t>
  </si>
  <si>
    <t>National 
Phone No.</t>
  </si>
  <si>
    <t>France/Europe 
Phone No.</t>
  </si>
  <si>
    <t>WhatsApp/Viber/Telegram</t>
  </si>
  <si>
    <t>FB Messenger</t>
  </si>
  <si>
    <t>Port of Call List</t>
  </si>
  <si>
    <t>MATALUBOS, Gerald Maniapao</t>
  </si>
  <si>
    <t>Navotas, Metro Manila</t>
  </si>
  <si>
    <t>P0009456C</t>
  </si>
  <si>
    <t>A0154698</t>
  </si>
  <si>
    <t>11.05.2022-10.05.2032</t>
  </si>
  <si>
    <t>28.03.2022-28.03.2032</t>
  </si>
  <si>
    <t>MARSEILLE 05.01.2026</t>
  </si>
  <si>
    <t>HONCHAR, Yurii</t>
  </si>
  <si>
    <t>GJ014077</t>
  </si>
  <si>
    <t>AB630373</t>
  </si>
  <si>
    <t>25.03.2024-25.03.2034</t>
  </si>
  <si>
    <t>20.06.2018-30.11.2027</t>
  </si>
  <si>
    <t>DZBJA</t>
  </si>
  <si>
    <t>Napoli</t>
  </si>
  <si>
    <t>PERNIA, James Malitao</t>
  </si>
  <si>
    <t>Buenavista, Marinduque</t>
  </si>
  <si>
    <t>P7743571B</t>
  </si>
  <si>
    <t>01.10.2021-30.09.2031</t>
  </si>
  <si>
    <t>C1332465</t>
  </si>
  <si>
    <t>20.08.2018-17.08.2028</t>
  </si>
  <si>
    <t>CANTOS, Philip Justin Perez</t>
  </si>
  <si>
    <t>Batangas City</t>
  </si>
  <si>
    <t>P5075641C</t>
  </si>
  <si>
    <t>A0011575</t>
  </si>
  <si>
    <t>24.08.2023-23.08.2033</t>
  </si>
  <si>
    <t>11.08.2021-11.08.2031</t>
  </si>
  <si>
    <t>CORCINO, Renand Aparece</t>
  </si>
  <si>
    <t>Inabanga, Bohol</t>
  </si>
  <si>
    <t>BERNABE, Brian Malaluan</t>
  </si>
  <si>
    <t>Koronadal So. Cot.</t>
  </si>
  <si>
    <t>P8802413B</t>
  </si>
  <si>
    <t>C1254434</t>
  </si>
  <si>
    <t>28.01.2022-27.01.2032</t>
  </si>
  <si>
    <t>23.05.2018-20.05.2028</t>
  </si>
  <si>
    <t>ESP 023817584</t>
  </si>
  <si>
    <t>01.12.2024-30.11.2026</t>
  </si>
  <si>
    <t>P3970180B</t>
  </si>
  <si>
    <t>26.11.2019-25.11.2029</t>
  </si>
  <si>
    <t>C1547533</t>
  </si>
  <si>
    <t xml:space="preserve">05.12.2019-02.12.2029 </t>
  </si>
  <si>
    <t>FRA 612577136</t>
  </si>
  <si>
    <t>05.02.2026-04.08.2026</t>
  </si>
  <si>
    <t>FRA 612577137</t>
  </si>
  <si>
    <t>05.02.2026-04.02.2027</t>
  </si>
  <si>
    <t>FRA 612575209</t>
  </si>
  <si>
    <t>06.02.2026-05.02.2029</t>
  </si>
  <si>
    <t>CY383140</t>
  </si>
  <si>
    <t>25.07.2024-24.07.2034</t>
  </si>
  <si>
    <t>CY388194</t>
  </si>
  <si>
    <t>20.11.2024-19.11.2024</t>
  </si>
  <si>
    <t>ITNAP</t>
  </si>
  <si>
    <t>NAPOLI</t>
  </si>
  <si>
    <t>17:00</t>
  </si>
  <si>
    <t>04:30</t>
  </si>
  <si>
    <t>13:06</t>
  </si>
  <si>
    <t>21:06</t>
  </si>
  <si>
    <t>20:48</t>
  </si>
  <si>
    <t>18:24</t>
  </si>
  <si>
    <t>Salerno</t>
  </si>
  <si>
    <t>08:24</t>
  </si>
  <si>
    <t>Date and signature by master, authorised agent or officer
Capt. Zhukhariev, Dmytro</t>
  </si>
  <si>
    <t>/ Zhukhariev, Dmytro /</t>
  </si>
  <si>
    <t>21:24</t>
  </si>
  <si>
    <t>BRENNER, Dirk Oliver</t>
  </si>
  <si>
    <t>Technician</t>
  </si>
  <si>
    <t>C26H57RGX</t>
  </si>
  <si>
    <t>EHLER, Jan</t>
  </si>
  <si>
    <t>Bremerhaven</t>
  </si>
  <si>
    <t>Heide</t>
  </si>
  <si>
    <t>Germany</t>
  </si>
  <si>
    <t>C1FHVNW65</t>
  </si>
  <si>
    <t>07:00</t>
  </si>
  <si>
    <t>SISON, Jan Randell Rollo</t>
  </si>
  <si>
    <t>SALERNO</t>
  </si>
  <si>
    <t>08:48</t>
  </si>
  <si>
    <t>22:00</t>
  </si>
  <si>
    <t>ITSAL</t>
  </si>
  <si>
    <t>20:36</t>
  </si>
  <si>
    <t>12:00</t>
  </si>
  <si>
    <t>17:54</t>
  </si>
  <si>
    <t>05:48</t>
  </si>
  <si>
    <t>02:30</t>
  </si>
  <si>
    <t>Alaminos City</t>
  </si>
  <si>
    <t>P5175257C</t>
  </si>
  <si>
    <t>A0322770</t>
  </si>
  <si>
    <t>06.09.2023-05.09.2033</t>
  </si>
  <si>
    <t>08.08.2024-08.08.2034</t>
  </si>
  <si>
    <t>21:18</t>
  </si>
  <si>
    <t>02:00</t>
  </si>
  <si>
    <t>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</si>
</sst>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m/d/yyyy"/>
    <numFmt numFmtId="165" formatCode="dd/mm/yy;@"/>
    <numFmt numFmtId="166" formatCode="dd\.mm\.yy"/>
    <numFmt numFmtId="167" formatCode="00"/>
    <numFmt numFmtId="168" formatCode="00\:00"/>
    <numFmt numFmtId="169" formatCode="d/m/yy;@"/>
    <numFmt numFmtId="170" formatCode="[$-809]dd\ mmmm\ yyyy;@"/>
    <numFmt numFmtId="171" formatCode="m/d/yy;@"/>
    <numFmt numFmtId="172" formatCode="dd\.mm\.yyyy"/>
    <numFmt numFmtId="173" formatCode="dd\.mm\.yy;@"/>
    <numFmt numFmtId="174" formatCode="dd/mm/yyyy;@"/>
    <numFmt numFmtId="175" formatCode="dd/mm/yy"/>
  </numFmts>
  <fonts count="142">
    <font>
      <sz val="10"/>
      <name val="Arial"/>
      <charset val="1"/>
    </font>
    <font>
      <sz val="11"/>
      <color theme="1"/>
      <name val="Calibri"/>
      <family val="2"/>
      <scheme val="minor"/>
    </font>
    <font>
      <sz val="10"/>
      <name val="MS Sans Serif"/>
      <family val="2"/>
      <charset val="204"/>
    </font>
    <font>
      <sz val="10"/>
      <name val="Arial"/>
      <family val="2"/>
      <charset val="204"/>
    </font>
    <font>
      <sz val="10"/>
      <name val="Arial Cyr"/>
      <charset val="134"/>
    </font>
    <font>
      <sz val="11"/>
      <color rgb="FF000000"/>
      <name val="Calibri"/>
      <family val="2"/>
      <charset val="204"/>
    </font>
    <font>
      <sz val="12"/>
      <name val="Arial"/>
      <family val="2"/>
      <charset val="1"/>
    </font>
    <font>
      <u/>
      <sz val="10"/>
      <color rgb="FF0000FF"/>
      <name val="Arial"/>
      <family val="2"/>
      <charset val="204"/>
    </font>
    <font>
      <sz val="10"/>
      <name val="MS Sans Serif"/>
      <family val="2"/>
      <charset val="1"/>
    </font>
    <font>
      <sz val="10"/>
      <name val="Arial"/>
      <family val="2"/>
      <charset val="1"/>
    </font>
    <font>
      <b/>
      <sz val="10"/>
      <color rgb="FFFF0000"/>
      <name val="Arial"/>
      <family val="2"/>
      <charset val="1"/>
    </font>
    <font>
      <b/>
      <i/>
      <sz val="10"/>
      <color rgb="FF000000"/>
      <name val="Bookman Old Style"/>
      <family val="1"/>
      <charset val="1"/>
    </font>
    <font>
      <sz val="10"/>
      <color rgb="FFFF0000"/>
      <name val="Arial"/>
      <family val="2"/>
      <charset val="1"/>
    </font>
    <font>
      <b/>
      <i/>
      <sz val="10"/>
      <color rgb="FFFF0000"/>
      <name val="Arial"/>
      <family val="2"/>
      <charset val="1"/>
    </font>
    <font>
      <b/>
      <sz val="10"/>
      <color rgb="FF000000"/>
      <name val="Arial"/>
      <family val="2"/>
      <charset val="1"/>
    </font>
    <font>
      <sz val="10"/>
      <color rgb="FF000000"/>
      <name val="Arial"/>
      <family val="2"/>
      <charset val="1"/>
    </font>
    <font>
      <b/>
      <i/>
      <sz val="10"/>
      <color rgb="FF000000"/>
      <name val="Arial"/>
      <family val="2"/>
      <charset val="1"/>
    </font>
    <font>
      <b/>
      <sz val="10"/>
      <name val="Arial"/>
      <family val="2"/>
      <charset val="1"/>
    </font>
    <font>
      <b/>
      <i/>
      <sz val="10"/>
      <name val="Bookman Old Style"/>
      <family val="1"/>
      <charset val="1"/>
    </font>
    <font>
      <b/>
      <i/>
      <sz val="10"/>
      <color rgb="FFFF0000"/>
      <name val="Bookman Old Style"/>
      <family val="1"/>
      <charset val="1"/>
    </font>
    <font>
      <b/>
      <i/>
      <sz val="10"/>
      <name val="Arial"/>
      <family val="2"/>
      <charset val="1"/>
    </font>
    <font>
      <sz val="6"/>
      <name val="Arial"/>
      <family val="2"/>
      <charset val="1"/>
    </font>
    <font>
      <b/>
      <i/>
      <u/>
      <sz val="10"/>
      <name val="Arial"/>
      <family val="2"/>
      <charset val="1"/>
    </font>
    <font>
      <b/>
      <i/>
      <sz val="8"/>
      <name val="Bookman Old Style"/>
      <family val="1"/>
      <charset val="1"/>
    </font>
    <font>
      <b/>
      <u/>
      <sz val="18"/>
      <name val="Arial"/>
      <family val="2"/>
      <charset val="204"/>
    </font>
    <font>
      <sz val="7"/>
      <name val="Arial"/>
      <family val="2"/>
      <charset val="204"/>
    </font>
    <font>
      <sz val="8"/>
      <name val="Arial"/>
      <family val="2"/>
      <charset val="204"/>
    </font>
    <font>
      <b/>
      <sz val="12"/>
      <name val="Arial"/>
      <family val="2"/>
      <charset val="1"/>
    </font>
    <font>
      <b/>
      <sz val="12"/>
      <name val="Arial"/>
      <family val="2"/>
      <charset val="204"/>
    </font>
    <font>
      <sz val="12"/>
      <name val="Arial"/>
      <family val="2"/>
      <charset val="204"/>
    </font>
    <font>
      <sz val="6"/>
      <name val="Arial"/>
      <family val="2"/>
      <charset val="204"/>
    </font>
    <font>
      <sz val="9"/>
      <name val="Arial"/>
      <family val="2"/>
      <charset val="1"/>
    </font>
    <font>
      <i/>
      <sz val="10"/>
      <name val="Arial"/>
      <family val="2"/>
      <charset val="1"/>
    </font>
    <font>
      <sz val="14"/>
      <name val="Arial"/>
      <family val="2"/>
      <charset val="1"/>
    </font>
    <font>
      <b/>
      <i/>
      <u/>
      <sz val="14"/>
      <name val="Arial"/>
      <family val="2"/>
      <charset val="1"/>
    </font>
    <font>
      <b/>
      <i/>
      <u/>
      <sz val="11"/>
      <name val="Arial"/>
      <family val="2"/>
      <charset val="1"/>
    </font>
    <font>
      <b/>
      <i/>
      <sz val="14"/>
      <name val="Arial"/>
      <family val="2"/>
      <charset val="1"/>
    </font>
    <font>
      <u/>
      <sz val="12"/>
      <name val="Arial"/>
      <family val="2"/>
      <charset val="1"/>
    </font>
    <font>
      <b/>
      <i/>
      <sz val="12"/>
      <name val="Arial"/>
      <family val="2"/>
      <charset val="1"/>
    </font>
    <font>
      <i/>
      <sz val="14"/>
      <name val="Arial"/>
      <family val="2"/>
      <charset val="1"/>
    </font>
    <font>
      <sz val="7"/>
      <name val="Arial"/>
      <family val="2"/>
      <charset val="1"/>
    </font>
    <font>
      <sz val="10"/>
      <color rgb="FFC00000"/>
      <name val="Arial"/>
      <family val="2"/>
      <charset val="1"/>
    </font>
    <font>
      <u/>
      <sz val="8"/>
      <name val="Arial"/>
      <family val="2"/>
      <charset val="1"/>
    </font>
    <font>
      <sz val="12"/>
      <color rgb="FF000000"/>
      <name val="Arial"/>
      <family val="2"/>
      <charset val="1"/>
    </font>
    <font>
      <sz val="8"/>
      <color rgb="FF808080"/>
      <name val="Arial"/>
      <family val="2"/>
      <charset val="1"/>
    </font>
    <font>
      <sz val="8"/>
      <color rgb="FFA6A6A6"/>
      <name val="Arial"/>
      <family val="2"/>
      <charset val="1"/>
    </font>
    <font>
      <sz val="8"/>
      <name val="Arial"/>
      <family val="2"/>
      <charset val="1"/>
    </font>
    <font>
      <b/>
      <sz val="7"/>
      <name val="Arial"/>
      <family val="2"/>
      <charset val="1"/>
    </font>
    <font>
      <b/>
      <sz val="6"/>
      <name val="Arial"/>
      <family val="2"/>
      <charset val="1"/>
    </font>
    <font>
      <u/>
      <sz val="7"/>
      <name val="Arial"/>
      <family val="2"/>
      <charset val="1"/>
    </font>
    <font>
      <u/>
      <sz val="6"/>
      <name val="Arial"/>
      <family val="2"/>
      <charset val="1"/>
    </font>
    <font>
      <b/>
      <i/>
      <sz val="9"/>
      <name val="Bookman Old Style"/>
      <family val="1"/>
      <charset val="1"/>
    </font>
    <font>
      <b/>
      <i/>
      <sz val="12"/>
      <name val="Bookman Old Style"/>
      <family val="1"/>
      <charset val="1"/>
    </font>
    <font>
      <sz val="5"/>
      <name val="Arial"/>
      <family val="2"/>
      <charset val="1"/>
    </font>
    <font>
      <strike/>
      <sz val="6"/>
      <name val="Arial"/>
      <family val="2"/>
      <charset val="1"/>
    </font>
    <font>
      <b/>
      <u/>
      <sz val="11"/>
      <color rgb="FFFF0000"/>
      <name val="Arial"/>
      <family val="2"/>
      <charset val="1"/>
    </font>
    <font>
      <b/>
      <u/>
      <sz val="6"/>
      <name val="Arial"/>
      <family val="2"/>
      <charset val="1"/>
    </font>
    <font>
      <sz val="11"/>
      <color rgb="FFFF0000"/>
      <name val="Arial"/>
      <family val="2"/>
      <charset val="1"/>
    </font>
    <font>
      <sz val="6"/>
      <color rgb="FFFF0000"/>
      <name val="Arial"/>
      <family val="2"/>
      <charset val="1"/>
    </font>
    <font>
      <sz val="11"/>
      <name val="Arial"/>
      <family val="2"/>
      <charset val="1"/>
    </font>
    <font>
      <sz val="11"/>
      <color rgb="FFFFFFFF"/>
      <name val="Arial"/>
      <family val="2"/>
      <charset val="1"/>
    </font>
    <font>
      <sz val="9"/>
      <color rgb="FFFF0000"/>
      <name val="Arial"/>
      <family val="2"/>
      <charset val="1"/>
    </font>
    <font>
      <b/>
      <sz val="9"/>
      <name val="Arial"/>
      <family val="2"/>
      <charset val="1"/>
    </font>
    <font>
      <u/>
      <sz val="6"/>
      <name val="Arial"/>
      <family val="2"/>
      <charset val="204"/>
    </font>
    <font>
      <b/>
      <sz val="10"/>
      <name val="Arial"/>
      <family val="2"/>
      <charset val="204"/>
    </font>
    <font>
      <sz val="10"/>
      <color rgb="FFFF0000"/>
      <name val="Arial"/>
      <family val="2"/>
      <charset val="204"/>
    </font>
    <font>
      <sz val="6"/>
      <name val="Times New Roman"/>
      <family val="1"/>
      <charset val="1"/>
    </font>
    <font>
      <b/>
      <sz val="20"/>
      <name val="Times New Roman"/>
      <family val="1"/>
      <charset val="1"/>
    </font>
    <font>
      <sz val="7"/>
      <name val="Times New Roman"/>
      <family val="1"/>
      <charset val="1"/>
    </font>
    <font>
      <sz val="8"/>
      <name val="Times New Roman"/>
      <family val="1"/>
      <charset val="1"/>
    </font>
    <font>
      <b/>
      <i/>
      <sz val="9"/>
      <name val="Times New Roman"/>
      <family val="1"/>
      <charset val="1"/>
    </font>
    <font>
      <b/>
      <i/>
      <sz val="6"/>
      <name val="Times New Roman"/>
      <family val="1"/>
      <charset val="1"/>
    </font>
    <font>
      <sz val="10"/>
      <name val="Times New Roman"/>
      <family val="1"/>
      <charset val="1"/>
    </font>
    <font>
      <b/>
      <sz val="14"/>
      <name val="Baskerville Old Face"/>
      <family val="1"/>
      <charset val="1"/>
    </font>
    <font>
      <sz val="11"/>
      <name val="Arial"/>
      <family val="2"/>
      <charset val="204"/>
    </font>
    <font>
      <b/>
      <i/>
      <sz val="12"/>
      <name val="Bookman Old Style"/>
      <family val="1"/>
      <charset val="204"/>
    </font>
    <font>
      <b/>
      <i/>
      <sz val="10"/>
      <name val="Bookman Old Style"/>
      <family val="1"/>
      <charset val="204"/>
    </font>
    <font>
      <b/>
      <i/>
      <sz val="11"/>
      <name val="Bookman Old Style"/>
      <family val="1"/>
      <charset val="204"/>
    </font>
    <font>
      <b/>
      <sz val="11"/>
      <name val="Arial"/>
      <family val="2"/>
      <charset val="204"/>
    </font>
    <font>
      <b/>
      <sz val="11"/>
      <name val="Arial"/>
      <family val="2"/>
      <charset val="1"/>
    </font>
    <font>
      <b/>
      <sz val="11"/>
      <color rgb="FF000000"/>
      <name val="Arial"/>
      <family val="2"/>
      <charset val="1"/>
    </font>
    <font>
      <b/>
      <sz val="11"/>
      <color rgb="FFFF00FF"/>
      <name val="Arial"/>
      <family val="2"/>
      <charset val="204"/>
    </font>
    <font>
      <sz val="11"/>
      <color rgb="FFFF00FF"/>
      <name val="Arial"/>
      <family val="2"/>
      <charset val="204"/>
    </font>
    <font>
      <sz val="18"/>
      <name val="Arial"/>
      <family val="2"/>
      <charset val="204"/>
    </font>
    <font>
      <sz val="14"/>
      <name val="Arial"/>
      <family val="2"/>
      <charset val="204"/>
    </font>
    <font>
      <b/>
      <sz val="6"/>
      <name val="Arial"/>
      <family val="2"/>
      <charset val="204"/>
    </font>
    <font>
      <b/>
      <i/>
      <sz val="9"/>
      <name val="Bookman Old Style"/>
      <family val="1"/>
      <charset val="204"/>
    </font>
    <font>
      <b/>
      <sz val="14"/>
      <name val="Arial"/>
      <family val="2"/>
      <charset val="1"/>
    </font>
    <font>
      <b/>
      <u/>
      <sz val="16"/>
      <name val="Arial"/>
      <family val="2"/>
      <charset val="1"/>
    </font>
    <font>
      <sz val="10"/>
      <name val="Nadianne"/>
      <family val="4"/>
      <charset val="1"/>
    </font>
    <font>
      <u/>
      <sz val="10"/>
      <name val="Times New Roman"/>
      <family val="1"/>
      <charset val="1"/>
    </font>
    <font>
      <b/>
      <sz val="10"/>
      <name val="Times New Roman"/>
      <family val="1"/>
      <charset val="1"/>
    </font>
    <font>
      <sz val="10"/>
      <color rgb="FF0070C0"/>
      <name val="Nadianne"/>
      <family val="4"/>
      <charset val="1"/>
    </font>
    <font>
      <i/>
      <sz val="10"/>
      <name val="Times New Roman"/>
      <family val="1"/>
      <charset val="1"/>
    </font>
    <font>
      <i/>
      <sz val="12"/>
      <name val="Times New Roman"/>
      <family val="1"/>
      <charset val="1"/>
    </font>
    <font>
      <b/>
      <sz val="8"/>
      <name val="Bookman Old Style"/>
      <family val="1"/>
      <charset val="1"/>
    </font>
    <font>
      <sz val="10"/>
      <name val="Bookman Old Style"/>
      <family val="1"/>
      <charset val="1"/>
    </font>
    <font>
      <b/>
      <u/>
      <sz val="10"/>
      <name val="Times New Roman"/>
      <family val="1"/>
      <charset val="1"/>
    </font>
    <font>
      <b/>
      <i/>
      <sz val="10"/>
      <name val="Nadianne"/>
      <family val="4"/>
      <charset val="1"/>
    </font>
    <font>
      <u/>
      <sz val="10"/>
      <name val="Arial"/>
      <family val="2"/>
      <charset val="1"/>
    </font>
    <font>
      <b/>
      <i/>
      <sz val="10"/>
      <name val="Times New Roman"/>
      <family val="1"/>
      <charset val="1"/>
    </font>
    <font>
      <b/>
      <sz val="9"/>
      <name val="Bookman Old Style"/>
      <family val="1"/>
      <charset val="1"/>
    </font>
    <font>
      <b/>
      <sz val="9"/>
      <name val="Times New Roman"/>
      <family val="1"/>
      <charset val="1"/>
    </font>
    <font>
      <sz val="22"/>
      <name val="Times New Roman"/>
      <family val="1"/>
      <charset val="1"/>
    </font>
    <font>
      <sz val="9"/>
      <name val="Times New Roman"/>
      <family val="1"/>
      <charset val="1"/>
    </font>
    <font>
      <sz val="12"/>
      <name val="Times New Roman"/>
      <family val="1"/>
      <charset val="1"/>
    </font>
    <font>
      <sz val="11"/>
      <name val="Times New Roman"/>
      <family val="1"/>
      <charset val="1"/>
    </font>
    <font>
      <u/>
      <sz val="10"/>
      <color rgb="FF0000FF"/>
      <name val="Times New Roman"/>
      <family val="1"/>
      <charset val="1"/>
    </font>
    <font>
      <u/>
      <sz val="10"/>
      <color rgb="FF0000FF"/>
      <name val="Arial"/>
      <family val="2"/>
      <charset val="1"/>
    </font>
    <font>
      <b/>
      <u/>
      <sz val="9"/>
      <color rgb="FF000000"/>
      <name val="Times New Roman"/>
      <family val="1"/>
      <charset val="1"/>
    </font>
    <font>
      <b/>
      <sz val="9"/>
      <color rgb="FF000000"/>
      <name val="Times New Roman"/>
      <family val="1"/>
      <charset val="1"/>
    </font>
    <font>
      <sz val="10"/>
      <name val="Arial"/>
      <family val="2"/>
    </font>
    <font>
      <sz val="12"/>
      <name val="Times New Roman"/>
      <family val="1"/>
    </font>
    <font>
      <b/>
      <sz val="10"/>
      <name val="Times New Roman"/>
      <family val="1"/>
    </font>
    <font>
      <b/>
      <i/>
      <sz val="10"/>
      <name val="Arial"/>
      <family val="2"/>
    </font>
    <font>
      <strike/>
      <sz val="6"/>
      <name val="Arial"/>
      <family val="2"/>
    </font>
    <font>
      <b/>
      <sz val="10"/>
      <name val="Arial"/>
      <family val="2"/>
    </font>
    <font>
      <b/>
      <sz val="8"/>
      <name val="Arial"/>
      <family val="2"/>
    </font>
    <font>
      <b/>
      <sz val="9"/>
      <name val="Arial"/>
      <family val="2"/>
    </font>
    <font>
      <b/>
      <i/>
      <sz val="9"/>
      <color rgb="FFFF0000"/>
      <name val="Arial"/>
      <family val="2"/>
      <charset val="1"/>
    </font>
    <font>
      <b/>
      <sz val="9"/>
      <color rgb="FFFF0000"/>
      <name val="Arial"/>
      <family val="2"/>
      <charset val="1"/>
    </font>
    <font>
      <b/>
      <sz val="8"/>
      <color rgb="FFFF0000"/>
      <name val="Arial"/>
      <family val="2"/>
      <charset val="1"/>
    </font>
    <font>
      <b/>
      <i/>
      <sz val="12"/>
      <name val="Times New Roman"/>
      <family val="1"/>
      <charset val="1"/>
    </font>
    <font>
      <sz val="8"/>
      <name val="Arial"/>
      <family val="2"/>
    </font>
    <font>
      <sz val="10"/>
      <color rgb="FFFF0000"/>
      <name val="Arial"/>
      <family val="2"/>
    </font>
    <font>
      <sz val="10"/>
      <color theme="1"/>
      <name val="Arial"/>
      <family val="2"/>
    </font>
    <font>
      <sz val="12"/>
      <color theme="1"/>
      <name val="Times New Roman"/>
      <family val="1"/>
    </font>
    <font>
      <sz val="10"/>
      <name val="Times New Roman"/>
      <family val="1"/>
    </font>
    <font>
      <i/>
      <sz val="10"/>
      <name val="Arial"/>
      <family val="2"/>
    </font>
    <font>
      <sz val="9"/>
      <name val="Arial"/>
      <family val="2"/>
    </font>
    <font>
      <b/>
      <sz val="7"/>
      <name val="Arial"/>
      <family val="2"/>
    </font>
    <font>
      <b/>
      <i/>
      <sz val="9"/>
      <name val="Arial"/>
      <family val="2"/>
    </font>
    <font>
      <b/>
      <sz val="14"/>
      <name val="Arial"/>
      <family val="2"/>
    </font>
    <font>
      <sz val="11"/>
      <name val="Arial"/>
      <family val="2"/>
    </font>
    <font>
      <sz val="12"/>
      <name val="Arial"/>
      <family val="2"/>
    </font>
    <font>
      <b/>
      <sz val="12"/>
      <name val="Arial"/>
      <family val="2"/>
    </font>
    <font>
      <b/>
      <sz val="11"/>
      <name val="Arial"/>
      <family val="2"/>
    </font>
    <font>
      <b/>
      <sz val="14"/>
      <name val="Times New Roman"/>
      <family val="1"/>
    </font>
    <font>
      <sz val="11"/>
      <name val="Times New Roman"/>
      <family val="1"/>
    </font>
    <font>
      <b/>
      <i/>
      <sz val="16"/>
      <name val="Times New Roman"/>
      <family val="1"/>
      <charset val="1"/>
    </font>
    <font>
      <b/>
      <sz val="16"/>
      <name val="Times New Roman"/>
      <family val="1"/>
      <charset val="1"/>
    </font>
    <font>
      <b/>
      <sz val="13"/>
      <name val="Times New Roman"/>
      <family val="1"/>
      <charset val="1"/>
    </font>
  </fonts>
  <fills count="16">
    <fill>
      <patternFill patternType="none"/>
    </fill>
    <fill>
      <patternFill patternType="gray125"/>
    </fill>
    <fill>
      <patternFill patternType="solid">
        <fgColor rgb="FFFFFFFF"/>
        <bgColor rgb="FFF3F0E2"/>
      </patternFill>
    </fill>
    <fill>
      <patternFill patternType="solid">
        <fgColor rgb="FFB7DEE8"/>
        <bgColor rgb="FF99CCFF"/>
      </patternFill>
    </fill>
    <fill>
      <patternFill patternType="solid">
        <fgColor rgb="FFFFFFCC"/>
        <bgColor rgb="FFF3F0E2"/>
      </patternFill>
    </fill>
    <fill>
      <patternFill patternType="solid">
        <fgColor rgb="FFFFFF00"/>
        <bgColor rgb="FFFFFF00"/>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4" tint="0.59999389629810485"/>
        <bgColor indexed="64"/>
      </patternFill>
    </fill>
    <fill>
      <patternFill patternType="solid">
        <fgColor rgb="FF00B050"/>
        <bgColor indexed="64"/>
      </patternFill>
    </fill>
    <fill>
      <patternFill patternType="solid">
        <fgColor rgb="FFFFFF00"/>
        <bgColor indexed="64"/>
      </patternFill>
    </fill>
    <fill>
      <patternFill patternType="solid">
        <fgColor rgb="FFFFFF00"/>
        <bgColor rgb="FFF3F0E2"/>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s>
  <borders count="8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bottom/>
      <diagonal/>
    </border>
    <border>
      <left/>
      <right/>
      <top style="hair">
        <color auto="1"/>
      </top>
      <bottom style="hair">
        <color auto="1"/>
      </bottom>
      <diagonal/>
    </border>
    <border>
      <left style="thin">
        <color auto="1"/>
      </left>
      <right/>
      <top/>
      <bottom/>
      <diagonal/>
    </border>
    <border>
      <left style="thin">
        <color auto="1"/>
      </left>
      <right style="thin">
        <color auto="1"/>
      </right>
      <top style="hair">
        <color auto="1"/>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hair">
        <color auto="1"/>
      </left>
      <right style="hair">
        <color auto="1"/>
      </right>
      <top style="thin">
        <color auto="1"/>
      </top>
      <bottom style="thin">
        <color auto="1"/>
      </bottom>
      <diagonal/>
    </border>
    <border>
      <left/>
      <right/>
      <top/>
      <bottom style="thick">
        <color auto="1"/>
      </bottom>
      <diagonal/>
    </border>
    <border>
      <left/>
      <right/>
      <top style="thick">
        <color auto="1"/>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bottom style="hair">
        <color auto="1"/>
      </bottom>
      <diagonal/>
    </border>
    <border>
      <left/>
      <right style="thin">
        <color auto="1"/>
      </right>
      <top style="thin">
        <color auto="1"/>
      </top>
      <bottom style="hair">
        <color auto="1"/>
      </bottom>
      <diagonal/>
    </border>
    <border>
      <left/>
      <right/>
      <top style="hair">
        <color auto="1"/>
      </top>
      <bottom style="thin">
        <color auto="1"/>
      </bottom>
      <diagonal/>
    </border>
    <border>
      <left style="thin">
        <color auto="1"/>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thin">
        <color auto="1"/>
      </bottom>
      <diagonal/>
    </border>
    <border>
      <left/>
      <right style="thin">
        <color auto="1"/>
      </right>
      <top/>
      <bottom style="medium">
        <color auto="1"/>
      </bottom>
      <diagonal/>
    </border>
    <border>
      <left style="thin">
        <color auto="1"/>
      </left>
      <right style="thin">
        <color auto="1"/>
      </right>
      <top style="medium">
        <color auto="1"/>
      </top>
      <bottom style="thin">
        <color auto="1"/>
      </bottom>
      <diagonal/>
    </border>
    <border>
      <left/>
      <right/>
      <top style="medium">
        <color auto="1"/>
      </top>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right/>
      <top style="hair">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hair">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hair">
        <color auto="1"/>
      </top>
      <bottom/>
      <diagonal/>
    </border>
    <border>
      <left style="thin">
        <color auto="1"/>
      </left>
      <right style="medium">
        <color auto="1"/>
      </right>
      <top/>
      <bottom/>
      <diagonal/>
    </border>
    <border>
      <left style="medium">
        <color auto="1"/>
      </left>
      <right style="thin">
        <color auto="1"/>
      </right>
      <top style="medium">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medium">
        <color indexed="64"/>
      </bottom>
      <diagonal/>
    </border>
    <border>
      <left style="thin">
        <color auto="1"/>
      </left>
      <right style="medium">
        <color auto="1"/>
      </right>
      <top style="medium">
        <color indexed="64"/>
      </top>
      <bottom style="thin">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style="thin">
        <color auto="1"/>
      </left>
      <right style="medium">
        <color indexed="64"/>
      </right>
      <top/>
      <bottom style="medium">
        <color auto="1"/>
      </bottom>
      <diagonal/>
    </border>
    <border>
      <left style="medium">
        <color auto="1"/>
      </left>
      <right style="medium">
        <color indexed="64"/>
      </right>
      <top/>
      <bottom style="thin">
        <color indexed="64"/>
      </bottom>
      <diagonal/>
    </border>
    <border>
      <left style="medium">
        <color indexed="64"/>
      </left>
      <right style="thin">
        <color auto="1"/>
      </right>
      <top/>
      <bottom/>
      <diagonal/>
    </border>
    <border>
      <left/>
      <right style="thin">
        <color auto="1"/>
      </right>
      <top style="medium">
        <color auto="1"/>
      </top>
      <bottom style="medium">
        <color indexed="64"/>
      </bottom>
      <diagonal/>
    </border>
  </borders>
  <cellStyleXfs count="14">
    <xf numFmtId="0" fontId="0" fillId="0" borderId="0"/>
    <xf numFmtId="0" fontId="108" fillId="0" borderId="0" applyBorder="0" applyProtection="0"/>
    <xf numFmtId="0" fontId="2" fillId="0" borderId="0"/>
    <xf numFmtId="0" fontId="3" fillId="0" borderId="0"/>
    <xf numFmtId="0" fontId="4" fillId="0" borderId="0"/>
    <xf numFmtId="0" fontId="5" fillId="0" borderId="0"/>
    <xf numFmtId="0" fontId="3" fillId="0" borderId="0"/>
    <xf numFmtId="0" fontId="3" fillId="0" borderId="0"/>
    <xf numFmtId="0" fontId="6" fillId="0" borderId="0"/>
    <xf numFmtId="0" fontId="7" fillId="0" borderId="0" applyBorder="0" applyProtection="0"/>
    <xf numFmtId="0" fontId="3" fillId="0" borderId="0"/>
    <xf numFmtId="0" fontId="8" fillId="0" borderId="0"/>
    <xf numFmtId="0" fontId="3" fillId="0" borderId="0"/>
    <xf numFmtId="0" fontId="1" fillId="0" borderId="0"/>
  </cellStyleXfs>
  <cellXfs count="928">
    <xf numFmtId="0" fontId="0" fillId="0" borderId="0" xfId="0"/>
    <xf numFmtId="0" fontId="9" fillId="0" borderId="0" xfId="0" applyFont="1"/>
    <xf numFmtId="0" fontId="9" fillId="0" borderId="0" xfId="0" applyFont="1" applyAlignment="1">
      <alignment shrinkToFit="1"/>
    </xf>
    <xf numFmtId="0" fontId="12" fillId="0" borderId="0" xfId="0" applyFont="1"/>
    <xf numFmtId="0" fontId="15" fillId="0" borderId="0" xfId="0" applyFont="1"/>
    <xf numFmtId="0" fontId="19" fillId="0" borderId="0" xfId="0" applyFont="1" applyAlignment="1">
      <alignment horizontal="right"/>
    </xf>
    <xf numFmtId="165" fontId="20" fillId="0" borderId="0" xfId="0" applyNumberFormat="1" applyFont="1" applyAlignment="1">
      <alignment horizontal="left"/>
    </xf>
    <xf numFmtId="165" fontId="18" fillId="0" borderId="0" xfId="0" applyNumberFormat="1" applyFont="1" applyAlignment="1">
      <alignment horizontal="left"/>
    </xf>
    <xf numFmtId="0" fontId="17" fillId="0" borderId="0" xfId="0" applyFont="1"/>
    <xf numFmtId="0" fontId="18" fillId="0" borderId="0" xfId="0" applyFont="1"/>
    <xf numFmtId="0" fontId="3" fillId="0" borderId="0" xfId="0" applyFont="1"/>
    <xf numFmtId="0" fontId="21" fillId="0" borderId="0" xfId="0" applyFont="1" applyAlignment="1">
      <alignment horizontal="center"/>
    </xf>
    <xf numFmtId="0" fontId="9" fillId="0" borderId="1" xfId="0" applyFont="1" applyBorder="1" applyAlignment="1">
      <alignment horizontal="center"/>
    </xf>
    <xf numFmtId="0" fontId="18" fillId="0" borderId="3"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shrinkToFit="1"/>
    </xf>
    <xf numFmtId="0" fontId="9" fillId="0" borderId="6" xfId="0" applyFont="1" applyBorder="1" applyAlignment="1">
      <alignment horizontal="center"/>
    </xf>
    <xf numFmtId="0" fontId="9" fillId="0" borderId="6" xfId="0" applyFont="1" applyBorder="1" applyAlignment="1">
      <alignment horizontal="center" shrinkToFit="1"/>
    </xf>
    <xf numFmtId="49" fontId="9" fillId="0" borderId="6" xfId="0" applyNumberFormat="1" applyFont="1" applyBorder="1" applyAlignment="1">
      <alignment horizontal="left"/>
    </xf>
    <xf numFmtId="0" fontId="10" fillId="0" borderId="0" xfId="0" applyFont="1" applyAlignment="1">
      <alignment horizontal="right" vertical="center"/>
    </xf>
    <xf numFmtId="166" fontId="9" fillId="0" borderId="10" xfId="0" applyNumberFormat="1" applyFont="1" applyBorder="1" applyAlignment="1">
      <alignment horizontal="left"/>
    </xf>
    <xf numFmtId="49" fontId="0" fillId="0" borderId="0" xfId="0" applyNumberFormat="1"/>
    <xf numFmtId="165" fontId="17" fillId="0" borderId="0" xfId="0" applyNumberFormat="1" applyFont="1" applyAlignment="1">
      <alignment horizontal="center"/>
    </xf>
    <xf numFmtId="0" fontId="9" fillId="0" borderId="6" xfId="0" applyFont="1" applyBorder="1" applyAlignment="1">
      <alignment horizontal="center" vertical="center"/>
    </xf>
    <xf numFmtId="0" fontId="22" fillId="0" borderId="0" xfId="0" applyFont="1"/>
    <xf numFmtId="0" fontId="9" fillId="0" borderId="6" xfId="0" applyFont="1" applyBorder="1"/>
    <xf numFmtId="165" fontId="18" fillId="2" borderId="0" xfId="0" applyNumberFormat="1" applyFont="1" applyFill="1" applyAlignment="1">
      <alignment horizontal="left"/>
    </xf>
    <xf numFmtId="0" fontId="9" fillId="0" borderId="0" xfId="0" applyFont="1" applyAlignment="1">
      <alignment horizontal="center"/>
    </xf>
    <xf numFmtId="0" fontId="0" fillId="2" borderId="0" xfId="0" applyFill="1"/>
    <xf numFmtId="0" fontId="20" fillId="0" borderId="0" xfId="0" applyFont="1"/>
    <xf numFmtId="165" fontId="17" fillId="0" borderId="0" xfId="0" applyNumberFormat="1" applyFont="1" applyAlignment="1">
      <alignment horizontal="left"/>
    </xf>
    <xf numFmtId="0" fontId="9" fillId="2" borderId="0" xfId="0" applyFont="1" applyFill="1"/>
    <xf numFmtId="165" fontId="17" fillId="2" borderId="0" xfId="0" applyNumberFormat="1" applyFont="1" applyFill="1" applyAlignment="1">
      <alignment horizontal="left"/>
    </xf>
    <xf numFmtId="165" fontId="17" fillId="2" borderId="0" xfId="0" applyNumberFormat="1" applyFont="1" applyFill="1" applyAlignment="1">
      <alignment horizontal="center"/>
    </xf>
    <xf numFmtId="0" fontId="9" fillId="0" borderId="6" xfId="0" applyFont="1" applyBorder="1" applyAlignment="1">
      <alignment vertical="center" shrinkToFit="1"/>
    </xf>
    <xf numFmtId="165" fontId="23" fillId="0" borderId="0" xfId="0" applyNumberFormat="1" applyFont="1" applyAlignment="1">
      <alignment horizontal="left"/>
    </xf>
    <xf numFmtId="0" fontId="0" fillId="0" borderId="6" xfId="0" applyBorder="1" applyAlignment="1">
      <alignment shrinkToFit="1"/>
    </xf>
    <xf numFmtId="0" fontId="0" fillId="0" borderId="0" xfId="0" applyAlignment="1">
      <alignment horizontal="left"/>
    </xf>
    <xf numFmtId="167" fontId="0" fillId="0" borderId="0" xfId="0" applyNumberFormat="1" applyAlignment="1">
      <alignment horizontal="left"/>
    </xf>
    <xf numFmtId="0" fontId="0" fillId="0" borderId="14" xfId="0" applyBorder="1" applyAlignment="1">
      <alignment horizontal="center"/>
    </xf>
    <xf numFmtId="0" fontId="0" fillId="0" borderId="15" xfId="0" applyBorder="1"/>
    <xf numFmtId="0" fontId="0" fillId="0" borderId="15" xfId="0" applyBorder="1" applyAlignment="1">
      <alignment horizontal="left"/>
    </xf>
    <xf numFmtId="0" fontId="0" fillId="0" borderId="15" xfId="0" applyBorder="1" applyAlignment="1">
      <alignment horizontal="center"/>
    </xf>
    <xf numFmtId="167" fontId="0" fillId="0" borderId="16" xfId="0" applyNumberFormat="1" applyBorder="1" applyAlignment="1">
      <alignment horizontal="left"/>
    </xf>
    <xf numFmtId="0" fontId="0" fillId="0" borderId="11" xfId="0" applyBorder="1"/>
    <xf numFmtId="167" fontId="0" fillId="0" borderId="17" xfId="0" applyNumberFormat="1" applyBorder="1" applyAlignment="1">
      <alignment horizontal="left"/>
    </xf>
    <xf numFmtId="0" fontId="25" fillId="0" borderId="19" xfId="0" applyFont="1" applyBorder="1" applyAlignment="1">
      <alignment horizontal="left" vertical="top"/>
    </xf>
    <xf numFmtId="0" fontId="25" fillId="0" borderId="20" xfId="0" applyFont="1" applyBorder="1" applyAlignment="1">
      <alignment horizontal="left" vertical="top"/>
    </xf>
    <xf numFmtId="0" fontId="25" fillId="0" borderId="19" xfId="0" applyFont="1" applyBorder="1" applyAlignment="1">
      <alignment vertical="top"/>
    </xf>
    <xf numFmtId="0" fontId="26" fillId="0" borderId="0" xfId="0" applyFont="1"/>
    <xf numFmtId="0" fontId="28" fillId="0" borderId="21" xfId="0" applyFont="1" applyBorder="1" applyAlignment="1">
      <alignment horizontal="center" vertical="center" shrinkToFit="1"/>
    </xf>
    <xf numFmtId="0" fontId="29" fillId="0" borderId="0" xfId="0" applyFont="1"/>
    <xf numFmtId="0" fontId="26" fillId="0" borderId="14" xfId="0" applyFont="1" applyBorder="1" applyAlignment="1">
      <alignment vertical="center"/>
    </xf>
    <xf numFmtId="0" fontId="27" fillId="0" borderId="21" xfId="0" applyFont="1" applyBorder="1" applyAlignment="1">
      <alignment horizontal="center" vertical="center"/>
    </xf>
    <xf numFmtId="0" fontId="25" fillId="0" borderId="22" xfId="0" applyFont="1" applyBorder="1" applyAlignment="1">
      <alignment horizontal="left"/>
    </xf>
    <xf numFmtId="167" fontId="25" fillId="0" borderId="14" xfId="0" applyNumberFormat="1" applyFont="1" applyBorder="1" applyAlignment="1">
      <alignment vertical="top"/>
    </xf>
    <xf numFmtId="167" fontId="25" fillId="0" borderId="22" xfId="0" applyNumberFormat="1" applyFont="1" applyBorder="1" applyAlignment="1">
      <alignment vertical="top"/>
    </xf>
    <xf numFmtId="0" fontId="17" fillId="0" borderId="24" xfId="0" applyFont="1" applyBorder="1" applyAlignment="1">
      <alignment horizontal="center" vertical="center"/>
    </xf>
    <xf numFmtId="0" fontId="31" fillId="0" borderId="24" xfId="0" applyFont="1" applyBorder="1" applyAlignment="1">
      <alignment horizontal="center"/>
    </xf>
    <xf numFmtId="0" fontId="17" fillId="0" borderId="25" xfId="0" applyFont="1" applyBorder="1" applyAlignment="1">
      <alignment horizontal="center"/>
    </xf>
    <xf numFmtId="0" fontId="32" fillId="0" borderId="1" xfId="0" applyFont="1" applyBorder="1" applyAlignment="1">
      <alignment horizontal="center" vertical="center" wrapText="1"/>
    </xf>
    <xf numFmtId="0" fontId="0" fillId="0" borderId="0" xfId="0" applyAlignment="1" applyProtection="1">
      <alignment horizontal="center" vertical="center"/>
      <protection locked="0"/>
    </xf>
    <xf numFmtId="165" fontId="9"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168" fontId="9" fillId="0" borderId="0" xfId="0" applyNumberFormat="1" applyFont="1" applyAlignment="1" applyProtection="1">
      <alignment horizontal="center" vertical="center"/>
      <protection locked="0"/>
    </xf>
    <xf numFmtId="0" fontId="9" fillId="0" borderId="1" xfId="0" applyFont="1" applyBorder="1" applyAlignment="1" applyProtection="1">
      <alignment horizontal="center" vertical="center"/>
      <protection locked="0"/>
    </xf>
    <xf numFmtId="169" fontId="9" fillId="0" borderId="0" xfId="0" applyNumberFormat="1" applyFont="1" applyAlignment="1" applyProtection="1">
      <alignment horizontal="center" vertical="center"/>
      <protection locked="0"/>
    </xf>
    <xf numFmtId="167" fontId="0" fillId="0" borderId="17" xfId="0" applyNumberFormat="1" applyBorder="1" applyAlignment="1" applyProtection="1">
      <alignment horizontal="left"/>
      <protection locked="0"/>
    </xf>
    <xf numFmtId="167" fontId="0" fillId="0" borderId="3" xfId="0" applyNumberFormat="1" applyBorder="1" applyAlignment="1">
      <alignment horizontal="left"/>
    </xf>
    <xf numFmtId="0" fontId="9" fillId="0" borderId="0" xfId="0" applyFont="1" applyAlignment="1">
      <alignment horizontal="left"/>
    </xf>
    <xf numFmtId="0" fontId="0" fillId="0" borderId="13" xfId="0" applyBorder="1"/>
    <xf numFmtId="0" fontId="0" fillId="0" borderId="17" xfId="0" applyBorder="1" applyAlignment="1">
      <alignment horizontal="right"/>
    </xf>
    <xf numFmtId="0" fontId="0" fillId="0" borderId="21" xfId="0" applyBorder="1"/>
    <xf numFmtId="0" fontId="17" fillId="0" borderId="13" xfId="0" applyFont="1" applyBorder="1"/>
    <xf numFmtId="0" fontId="0" fillId="0" borderId="0" xfId="0" applyAlignment="1" applyProtection="1">
      <alignment horizontal="center"/>
      <protection locked="0"/>
    </xf>
    <xf numFmtId="0" fontId="17" fillId="0" borderId="0" xfId="0" applyFont="1" applyAlignment="1" applyProtection="1">
      <alignment horizontal="center"/>
      <protection locked="0"/>
    </xf>
    <xf numFmtId="49" fontId="9" fillId="0" borderId="0" xfId="0" applyNumberFormat="1" applyFont="1" applyAlignment="1" applyProtection="1">
      <alignment horizontal="center"/>
      <protection locked="0"/>
    </xf>
    <xf numFmtId="0" fontId="17" fillId="0" borderId="0" xfId="0" applyFont="1" applyAlignment="1" applyProtection="1">
      <alignment horizontal="left"/>
      <protection locked="0"/>
    </xf>
    <xf numFmtId="0" fontId="0" fillId="0" borderId="0" xfId="0" applyAlignment="1" applyProtection="1">
      <alignment horizontal="left"/>
      <protection locked="0"/>
    </xf>
    <xf numFmtId="0" fontId="31" fillId="0" borderId="0" xfId="0" applyFont="1"/>
    <xf numFmtId="0" fontId="35" fillId="0" borderId="28" xfId="0" applyFont="1" applyBorder="1" applyAlignment="1">
      <alignment horizontal="left" vertical="center"/>
    </xf>
    <xf numFmtId="0" fontId="9" fillId="0" borderId="28" xfId="0" applyFont="1" applyBorder="1"/>
    <xf numFmtId="0" fontId="33" fillId="0" borderId="28" xfId="0" applyFont="1" applyBorder="1"/>
    <xf numFmtId="0" fontId="6" fillId="0" borderId="0" xfId="0" applyFont="1"/>
    <xf numFmtId="0" fontId="6" fillId="0" borderId="0" xfId="0" applyFont="1" applyAlignment="1">
      <alignment horizontal="left"/>
    </xf>
    <xf numFmtId="0" fontId="6" fillId="0" borderId="0" xfId="0" applyFont="1" applyAlignment="1">
      <alignment horizontal="center"/>
    </xf>
    <xf numFmtId="0" fontId="39" fillId="0" borderId="0" xfId="0" applyFont="1" applyAlignment="1">
      <alignment horizontal="left"/>
    </xf>
    <xf numFmtId="0" fontId="17" fillId="0" borderId="22" xfId="0" applyFont="1" applyBorder="1" applyAlignment="1">
      <alignment horizontal="center" vertical="center" wrapText="1"/>
    </xf>
    <xf numFmtId="0" fontId="32" fillId="0" borderId="29" xfId="0" applyFont="1" applyBorder="1" applyAlignment="1">
      <alignment horizontal="center" vertical="center" wrapText="1"/>
    </xf>
    <xf numFmtId="0" fontId="9" fillId="0" borderId="30" xfId="7" applyFont="1" applyBorder="1" applyAlignment="1">
      <alignment horizontal="left" vertical="center" wrapText="1"/>
    </xf>
    <xf numFmtId="0" fontId="31" fillId="0" borderId="0" xfId="0" applyFont="1" applyAlignment="1">
      <alignment vertical="center"/>
    </xf>
    <xf numFmtId="0" fontId="44" fillId="0" borderId="28" xfId="0" applyFont="1" applyBorder="1" applyAlignment="1">
      <alignment horizontal="center" wrapText="1"/>
    </xf>
    <xf numFmtId="0" fontId="9" fillId="0" borderId="28" xfId="0" applyFont="1" applyBorder="1" applyAlignment="1">
      <alignment horizontal="center"/>
    </xf>
    <xf numFmtId="0" fontId="46" fillId="0" borderId="0" xfId="0" applyFont="1" applyAlignment="1">
      <alignment horizontal="center" vertical="center" wrapText="1"/>
    </xf>
    <xf numFmtId="0" fontId="21" fillId="0" borderId="0" xfId="0" applyFont="1"/>
    <xf numFmtId="0" fontId="40" fillId="0" borderId="0" xfId="0" applyFont="1"/>
    <xf numFmtId="0" fontId="47" fillId="0" borderId="0" xfId="0" applyFont="1" applyAlignment="1">
      <alignment horizontal="center"/>
    </xf>
    <xf numFmtId="0" fontId="40" fillId="0" borderId="22" xfId="0" applyFont="1" applyBorder="1"/>
    <xf numFmtId="0" fontId="17" fillId="0" borderId="22" xfId="0" applyFont="1" applyBorder="1" applyAlignment="1" applyProtection="1">
      <alignment horizontal="center"/>
      <protection locked="0"/>
    </xf>
    <xf numFmtId="0" fontId="48" fillId="0" borderId="0" xfId="0" applyFont="1"/>
    <xf numFmtId="0" fontId="31" fillId="0" borderId="4" xfId="0" applyFont="1" applyBorder="1" applyAlignment="1">
      <alignment horizontal="center"/>
    </xf>
    <xf numFmtId="0" fontId="51" fillId="0" borderId="0" xfId="0" applyFont="1"/>
    <xf numFmtId="0" fontId="18" fillId="0" borderId="13" xfId="0" applyFont="1" applyBorder="1" applyAlignment="1">
      <alignment vertical="center"/>
    </xf>
    <xf numFmtId="0" fontId="21" fillId="0" borderId="11" xfId="0" applyFont="1" applyBorder="1"/>
    <xf numFmtId="0" fontId="21" fillId="0" borderId="22" xfId="0" applyFont="1" applyBorder="1"/>
    <xf numFmtId="0" fontId="21" fillId="0" borderId="17" xfId="0" applyFont="1" applyBorder="1"/>
    <xf numFmtId="0" fontId="21" fillId="0" borderId="4" xfId="0" applyFont="1" applyBorder="1"/>
    <xf numFmtId="0" fontId="21" fillId="0" borderId="21" xfId="0" applyFont="1" applyBorder="1"/>
    <xf numFmtId="0" fontId="0" fillId="0" borderId="31" xfId="0" applyBorder="1" applyAlignment="1">
      <alignment horizontal="center" vertical="center"/>
    </xf>
    <xf numFmtId="0" fontId="9" fillId="0" borderId="31" xfId="0" applyFont="1" applyBorder="1" applyAlignment="1">
      <alignment horizontal="center" vertical="center"/>
    </xf>
    <xf numFmtId="166" fontId="9" fillId="0" borderId="31" xfId="0" applyNumberFormat="1" applyFont="1" applyBorder="1" applyAlignment="1">
      <alignment horizontal="center" vertical="center"/>
    </xf>
    <xf numFmtId="49" fontId="9" fillId="0" borderId="31" xfId="0" applyNumberFormat="1" applyFont="1" applyBorder="1" applyAlignment="1">
      <alignment horizontal="center" vertical="center"/>
    </xf>
    <xf numFmtId="0" fontId="0" fillId="0" borderId="6" xfId="0" applyBorder="1" applyAlignment="1">
      <alignment horizontal="center" vertical="center"/>
    </xf>
    <xf numFmtId="166" fontId="9" fillId="0" borderId="6" xfId="0" applyNumberFormat="1" applyFont="1" applyBorder="1" applyAlignment="1">
      <alignment horizontal="center" vertical="center"/>
    </xf>
    <xf numFmtId="49" fontId="9" fillId="0" borderId="6" xfId="0" applyNumberFormat="1" applyFont="1" applyBorder="1" applyAlignment="1">
      <alignment horizontal="center" vertical="center"/>
    </xf>
    <xf numFmtId="0" fontId="0" fillId="0" borderId="6" xfId="0" applyBorder="1" applyAlignment="1">
      <alignment horizontal="center"/>
    </xf>
    <xf numFmtId="0" fontId="0" fillId="0" borderId="6" xfId="0" applyBorder="1"/>
    <xf numFmtId="171" fontId="9" fillId="0" borderId="6" xfId="0" applyNumberFormat="1" applyFont="1" applyBorder="1" applyAlignment="1">
      <alignment horizontal="center"/>
    </xf>
    <xf numFmtId="0" fontId="21" fillId="0" borderId="6" xfId="0" applyFont="1" applyBorder="1"/>
    <xf numFmtId="0" fontId="40" fillId="0" borderId="0" xfId="0" applyFont="1" applyAlignment="1">
      <alignment horizontal="center" vertical="center" wrapText="1"/>
    </xf>
    <xf numFmtId="0" fontId="21" fillId="0" borderId="12" xfId="0" applyFont="1" applyBorder="1" applyAlignment="1">
      <alignment horizontal="center"/>
    </xf>
    <xf numFmtId="0" fontId="21" fillId="0" borderId="12" xfId="0" applyFont="1" applyBorder="1"/>
    <xf numFmtId="0" fontId="47" fillId="0" borderId="0" xfId="0" applyFont="1"/>
    <xf numFmtId="0" fontId="40" fillId="0" borderId="17" xfId="0" applyFont="1" applyBorder="1" applyAlignment="1">
      <alignment horizontal="left" vertical="top"/>
    </xf>
    <xf numFmtId="172" fontId="9" fillId="0" borderId="0" xfId="0" applyNumberFormat="1" applyFont="1" applyAlignment="1">
      <alignment horizontal="center"/>
    </xf>
    <xf numFmtId="0" fontId="21" fillId="0" borderId="0" xfId="0" applyFont="1" applyAlignment="1">
      <alignment horizontal="left"/>
    </xf>
    <xf numFmtId="0" fontId="53" fillId="0" borderId="0" xfId="0" applyFont="1" applyAlignment="1">
      <alignment horizontal="center"/>
    </xf>
    <xf numFmtId="0" fontId="21" fillId="0" borderId="14" xfId="0" applyFont="1" applyBorder="1"/>
    <xf numFmtId="0" fontId="0" fillId="2" borderId="5" xfId="0" applyFill="1" applyBorder="1" applyAlignment="1">
      <alignment horizontal="center" vertical="center"/>
    </xf>
    <xf numFmtId="0" fontId="9" fillId="0" borderId="5" xfId="0" applyFont="1" applyBorder="1" applyAlignment="1">
      <alignment horizontal="left" vertical="center" shrinkToFit="1"/>
    </xf>
    <xf numFmtId="0" fontId="9" fillId="0" borderId="5" xfId="0" applyFont="1" applyBorder="1" applyAlignment="1">
      <alignment horizontal="center" vertical="center"/>
    </xf>
    <xf numFmtId="166" fontId="9" fillId="0" borderId="32" xfId="0" applyNumberFormat="1" applyFont="1" applyBorder="1" applyAlignment="1">
      <alignment horizontal="left" vertical="center"/>
    </xf>
    <xf numFmtId="165" fontId="9" fillId="0" borderId="10" xfId="0" applyNumberFormat="1" applyFont="1" applyBorder="1" applyAlignment="1">
      <alignment horizontal="center"/>
    </xf>
    <xf numFmtId="49" fontId="9" fillId="0" borderId="6" xfId="0" applyNumberFormat="1" applyFont="1" applyBorder="1" applyAlignment="1">
      <alignment horizontal="center" shrinkToFit="1"/>
    </xf>
    <xf numFmtId="171" fontId="9" fillId="0" borderId="10" xfId="0" applyNumberFormat="1" applyFont="1" applyBorder="1" applyAlignment="1">
      <alignment horizontal="center"/>
    </xf>
    <xf numFmtId="0" fontId="21" fillId="0" borderId="10" xfId="0" applyFont="1" applyBorder="1"/>
    <xf numFmtId="0" fontId="21" fillId="0" borderId="34" xfId="0" applyFont="1" applyBorder="1"/>
    <xf numFmtId="0" fontId="40" fillId="0" borderId="0" xfId="0" applyFont="1" applyAlignment="1">
      <alignment horizontal="center"/>
    </xf>
    <xf numFmtId="0" fontId="9" fillId="0" borderId="4" xfId="0" applyFont="1" applyBorder="1" applyAlignment="1">
      <alignment horizontal="center"/>
    </xf>
    <xf numFmtId="0" fontId="40" fillId="0" borderId="1" xfId="0" applyFont="1" applyBorder="1" applyAlignment="1">
      <alignment horizontal="left" vertical="top"/>
    </xf>
    <xf numFmtId="0" fontId="47" fillId="0" borderId="0" xfId="0" applyFont="1" applyAlignment="1">
      <alignment horizontal="right" textRotation="90"/>
    </xf>
    <xf numFmtId="0" fontId="55" fillId="0" borderId="0" xfId="0" applyFont="1"/>
    <xf numFmtId="0" fontId="56" fillId="0" borderId="0" xfId="0" applyFont="1"/>
    <xf numFmtId="0" fontId="40" fillId="0" borderId="29" xfId="0" applyFont="1" applyBorder="1" applyAlignment="1">
      <alignment horizontal="left" vertical="top"/>
    </xf>
    <xf numFmtId="0" fontId="40" fillId="0" borderId="2" xfId="0" applyFont="1" applyBorder="1" applyAlignment="1">
      <alignment horizontal="left" vertical="top"/>
    </xf>
    <xf numFmtId="0" fontId="40" fillId="0" borderId="1" xfId="0" applyFont="1" applyBorder="1" applyAlignment="1">
      <alignment horizontal="left" vertical="top" wrapText="1"/>
    </xf>
    <xf numFmtId="0" fontId="57" fillId="0" borderId="0" xfId="0" applyFont="1"/>
    <xf numFmtId="0" fontId="58" fillId="0" borderId="0" xfId="0" applyFont="1"/>
    <xf numFmtId="0" fontId="0" fillId="0" borderId="31" xfId="0" applyBorder="1" applyAlignment="1">
      <alignment horizontal="center"/>
    </xf>
    <xf numFmtId="0" fontId="0" fillId="0" borderId="31" xfId="0" applyBorder="1" applyAlignment="1">
      <alignment horizontal="center" shrinkToFit="1"/>
    </xf>
    <xf numFmtId="0" fontId="59" fillId="0" borderId="31" xfId="0" applyFont="1" applyBorder="1" applyAlignment="1">
      <alignment horizontal="center" vertical="center"/>
    </xf>
    <xf numFmtId="0" fontId="59" fillId="0" borderId="31" xfId="0" applyFont="1" applyBorder="1" applyAlignment="1">
      <alignment horizontal="center"/>
    </xf>
    <xf numFmtId="0" fontId="21" fillId="0" borderId="31" xfId="0" applyFont="1" applyBorder="1"/>
    <xf numFmtId="0" fontId="0" fillId="0" borderId="6" xfId="0" applyBorder="1" applyAlignment="1">
      <alignment horizontal="center" shrinkToFit="1"/>
    </xf>
    <xf numFmtId="0" fontId="59" fillId="0" borderId="6" xfId="0" applyFont="1" applyBorder="1" applyAlignment="1">
      <alignment horizontal="center" vertical="center"/>
    </xf>
    <xf numFmtId="0" fontId="59" fillId="0" borderId="6" xfId="0" applyFont="1" applyBorder="1" applyAlignment="1">
      <alignment horizontal="center"/>
    </xf>
    <xf numFmtId="0" fontId="60" fillId="0" borderId="6" xfId="0" applyFont="1" applyBorder="1" applyAlignment="1">
      <alignment horizontal="center"/>
    </xf>
    <xf numFmtId="0" fontId="61" fillId="0" borderId="0" xfId="0" applyFont="1"/>
    <xf numFmtId="0" fontId="21" fillId="0" borderId="6" xfId="0" applyFont="1" applyBorder="1" applyAlignment="1">
      <alignment horizontal="center"/>
    </xf>
    <xf numFmtId="0" fontId="21" fillId="0" borderId="13" xfId="0" applyFont="1" applyBorder="1"/>
    <xf numFmtId="0" fontId="40" fillId="0" borderId="22" xfId="0" applyFont="1" applyBorder="1" applyAlignment="1">
      <alignment horizontal="left" vertical="top"/>
    </xf>
    <xf numFmtId="0" fontId="62" fillId="0" borderId="22" xfId="0" applyFont="1" applyBorder="1" applyAlignment="1" applyProtection="1">
      <alignment horizontal="center"/>
      <protection locked="0"/>
    </xf>
    <xf numFmtId="0" fontId="31" fillId="0" borderId="9" xfId="0" applyFont="1" applyBorder="1" applyAlignment="1">
      <alignment horizontal="center" vertical="center"/>
    </xf>
    <xf numFmtId="0" fontId="21" fillId="0" borderId="22" xfId="0" applyFont="1" applyBorder="1" applyAlignment="1">
      <alignment horizontal="left" vertical="top"/>
    </xf>
    <xf numFmtId="0" fontId="18" fillId="0" borderId="0" xfId="0" applyFont="1" applyAlignment="1">
      <alignment horizontal="center" vertical="top"/>
    </xf>
    <xf numFmtId="0" fontId="51" fillId="0" borderId="11" xfId="0" applyFont="1" applyBorder="1"/>
    <xf numFmtId="0" fontId="51" fillId="0" borderId="4" xfId="0" applyFont="1" applyBorder="1" applyAlignment="1" applyProtection="1">
      <alignment horizontal="center" vertical="center"/>
      <protection locked="0"/>
    </xf>
    <xf numFmtId="0" fontId="51" fillId="0" borderId="21" xfId="0" applyFont="1" applyBorder="1"/>
    <xf numFmtId="0" fontId="51" fillId="0" borderId="3" xfId="0" applyFont="1" applyBorder="1"/>
    <xf numFmtId="0" fontId="51" fillId="0" borderId="13" xfId="0" applyFont="1" applyBorder="1"/>
    <xf numFmtId="0" fontId="0" fillId="0" borderId="35" xfId="0" applyBorder="1" applyProtection="1">
      <protection locked="0"/>
    </xf>
    <xf numFmtId="0" fontId="21" fillId="0" borderId="33" xfId="0" applyFont="1" applyBorder="1" applyProtection="1">
      <protection locked="0"/>
    </xf>
    <xf numFmtId="0" fontId="21" fillId="0" borderId="31" xfId="0" applyFont="1" applyBorder="1" applyProtection="1">
      <protection locked="0"/>
    </xf>
    <xf numFmtId="0" fontId="9" fillId="0" borderId="7" xfId="0" applyFont="1" applyBorder="1" applyProtection="1">
      <protection locked="0"/>
    </xf>
    <xf numFmtId="0" fontId="46" fillId="0" borderId="8" xfId="0" applyFont="1" applyBorder="1" applyAlignment="1" applyProtection="1">
      <alignment horizontal="right"/>
      <protection locked="0"/>
    </xf>
    <xf numFmtId="0" fontId="0" fillId="0" borderId="7" xfId="0" applyBorder="1" applyProtection="1">
      <protection locked="0"/>
    </xf>
    <xf numFmtId="0" fontId="17" fillId="0" borderId="6" xfId="0" applyFont="1" applyBorder="1" applyAlignment="1" applyProtection="1">
      <alignment horizontal="center"/>
      <protection locked="0"/>
    </xf>
    <xf numFmtId="0" fontId="26" fillId="0" borderId="8" xfId="0" applyFont="1" applyBorder="1" applyAlignment="1" applyProtection="1">
      <alignment horizontal="right"/>
      <protection locked="0"/>
    </xf>
    <xf numFmtId="0" fontId="64" fillId="0" borderId="6" xfId="0" applyFont="1" applyBorder="1" applyAlignment="1" applyProtection="1">
      <alignment horizontal="center"/>
      <protection locked="0"/>
    </xf>
    <xf numFmtId="0" fontId="21" fillId="0" borderId="7" xfId="0" applyFont="1" applyBorder="1" applyProtection="1">
      <protection locked="0"/>
    </xf>
    <xf numFmtId="0" fontId="21" fillId="0" borderId="8" xfId="0" applyFont="1" applyBorder="1" applyProtection="1">
      <protection locked="0"/>
    </xf>
    <xf numFmtId="0" fontId="21" fillId="0" borderId="6" xfId="0" applyFont="1" applyBorder="1" applyAlignment="1" applyProtection="1">
      <alignment horizontal="center"/>
      <protection locked="0"/>
    </xf>
    <xf numFmtId="0" fontId="21" fillId="0" borderId="6" xfId="0" applyFont="1" applyBorder="1" applyProtection="1">
      <protection locked="0"/>
    </xf>
    <xf numFmtId="0" fontId="40" fillId="0" borderId="17" xfId="0" applyFont="1" applyBorder="1"/>
    <xf numFmtId="49" fontId="51" fillId="0" borderId="0" xfId="0" applyNumberFormat="1" applyFont="1" applyAlignment="1">
      <alignment horizontal="center"/>
    </xf>
    <xf numFmtId="0" fontId="9" fillId="0" borderId="5" xfId="0" applyFont="1" applyBorder="1"/>
    <xf numFmtId="49" fontId="9" fillId="0" borderId="5" xfId="0" applyNumberFormat="1" applyFont="1" applyBorder="1" applyAlignment="1">
      <alignment horizontal="left"/>
    </xf>
    <xf numFmtId="0" fontId="0" fillId="0" borderId="5" xfId="0" applyBorder="1" applyAlignment="1">
      <alignment horizontal="center"/>
    </xf>
    <xf numFmtId="166" fontId="9" fillId="0" borderId="32" xfId="0" applyNumberFormat="1" applyFont="1" applyBorder="1" applyAlignment="1">
      <alignment horizontal="left"/>
    </xf>
    <xf numFmtId="0" fontId="66" fillId="0" borderId="0" xfId="0" applyFont="1" applyProtection="1">
      <protection locked="0"/>
    </xf>
    <xf numFmtId="0" fontId="66" fillId="0" borderId="0" xfId="0" applyFont="1" applyAlignment="1" applyProtection="1">
      <alignment horizontal="center"/>
      <protection locked="0"/>
    </xf>
    <xf numFmtId="0" fontId="68" fillId="0" borderId="0" xfId="0" applyFont="1" applyProtection="1">
      <protection locked="0"/>
    </xf>
    <xf numFmtId="0" fontId="68" fillId="0" borderId="1" xfId="0" applyFont="1" applyBorder="1" applyProtection="1">
      <protection locked="0"/>
    </xf>
    <xf numFmtId="0" fontId="70" fillId="0" borderId="0" xfId="0" applyFont="1" applyProtection="1">
      <protection locked="0"/>
    </xf>
    <xf numFmtId="0" fontId="71" fillId="0" borderId="0" xfId="0" applyFont="1" applyProtection="1">
      <protection locked="0"/>
    </xf>
    <xf numFmtId="0" fontId="66" fillId="0" borderId="0" xfId="0" applyFont="1" applyAlignment="1" applyProtection="1">
      <alignment vertical="center"/>
      <protection locked="0"/>
    </xf>
    <xf numFmtId="0" fontId="72" fillId="0" borderId="1" xfId="0" applyFont="1" applyBorder="1" applyAlignment="1" applyProtection="1">
      <alignment horizontal="center" vertical="center"/>
      <protection locked="0"/>
    </xf>
    <xf numFmtId="0" fontId="72" fillId="0" borderId="1" xfId="0" applyFont="1" applyBorder="1" applyAlignment="1" applyProtection="1">
      <alignment horizontal="left" vertical="center"/>
      <protection locked="0"/>
    </xf>
    <xf numFmtId="1" fontId="72" fillId="0" borderId="1" xfId="0" applyNumberFormat="1" applyFont="1" applyBorder="1" applyAlignment="1" applyProtection="1">
      <alignment horizontal="center" vertical="center"/>
      <protection locked="0"/>
    </xf>
    <xf numFmtId="49" fontId="72" fillId="0" borderId="1" xfId="0" applyNumberFormat="1" applyFont="1" applyBorder="1" applyAlignment="1" applyProtection="1">
      <alignment horizontal="center" vertical="center"/>
      <protection locked="0"/>
    </xf>
    <xf numFmtId="49" fontId="72" fillId="0" borderId="1" xfId="0" applyNumberFormat="1" applyFont="1" applyBorder="1" applyAlignment="1" applyProtection="1">
      <alignment horizontal="left" vertical="center"/>
      <protection locked="0"/>
    </xf>
    <xf numFmtId="0" fontId="74" fillId="0" borderId="0" xfId="0" applyFont="1"/>
    <xf numFmtId="0" fontId="75" fillId="0" borderId="0" xfId="0" applyFont="1"/>
    <xf numFmtId="0" fontId="76" fillId="0" borderId="0" xfId="0" applyFont="1" applyAlignment="1">
      <alignment horizontal="center" shrinkToFit="1"/>
    </xf>
    <xf numFmtId="0" fontId="77" fillId="0" borderId="0" xfId="0" applyFont="1"/>
    <xf numFmtId="0" fontId="74" fillId="0" borderId="13" xfId="0" applyFont="1" applyBorder="1"/>
    <xf numFmtId="0" fontId="78" fillId="0" borderId="0" xfId="0" applyFont="1"/>
    <xf numFmtId="0" fontId="79" fillId="0" borderId="0" xfId="0" applyFont="1"/>
    <xf numFmtId="0" fontId="78" fillId="0" borderId="0" xfId="0" applyFont="1" applyAlignment="1">
      <alignment horizontal="center"/>
    </xf>
    <xf numFmtId="0" fontId="78" fillId="0" borderId="0" xfId="0" applyFont="1" applyAlignment="1">
      <alignment horizontal="left"/>
    </xf>
    <xf numFmtId="164" fontId="78" fillId="0" borderId="0" xfId="0" applyNumberFormat="1" applyFont="1"/>
    <xf numFmtId="0" fontId="80" fillId="0" borderId="0" xfId="0" applyFont="1" applyAlignment="1">
      <alignment horizontal="left"/>
    </xf>
    <xf numFmtId="0" fontId="81" fillId="0" borderId="0" xfId="0" applyFont="1" applyAlignment="1">
      <alignment horizontal="center"/>
    </xf>
    <xf numFmtId="0" fontId="81" fillId="0" borderId="0" xfId="0" applyFont="1"/>
    <xf numFmtId="0" fontId="81" fillId="0" borderId="0" xfId="0" applyFont="1" applyAlignment="1">
      <alignment horizontal="left"/>
    </xf>
    <xf numFmtId="0" fontId="74" fillId="0" borderId="0" xfId="0" applyFont="1" applyAlignment="1">
      <alignment horizontal="center"/>
    </xf>
    <xf numFmtId="0" fontId="82" fillId="0" borderId="0" xfId="0" applyFont="1" applyAlignment="1">
      <alignment horizontal="left"/>
    </xf>
    <xf numFmtId="0" fontId="82" fillId="0" borderId="0" xfId="0" applyFont="1" applyAlignment="1">
      <alignment horizontal="center"/>
    </xf>
    <xf numFmtId="0" fontId="82" fillId="0" borderId="0" xfId="0" applyFont="1"/>
    <xf numFmtId="0" fontId="74" fillId="0" borderId="0" xfId="0" applyFont="1" applyAlignment="1">
      <alignment horizontal="left"/>
    </xf>
    <xf numFmtId="0" fontId="0" fillId="0" borderId="31" xfId="0" applyBorder="1" applyAlignment="1">
      <alignment shrinkToFit="1"/>
    </xf>
    <xf numFmtId="0" fontId="59" fillId="0" borderId="7" xfId="0" applyFont="1" applyBorder="1" applyAlignment="1">
      <alignment horizontal="center" vertical="center"/>
    </xf>
    <xf numFmtId="0" fontId="59" fillId="0" borderId="8" xfId="0" applyFont="1" applyBorder="1" applyAlignment="1">
      <alignment horizontal="center" vertical="center"/>
    </xf>
    <xf numFmtId="0" fontId="21" fillId="0" borderId="7" xfId="0" applyFont="1" applyBorder="1"/>
    <xf numFmtId="0" fontId="21" fillId="0" borderId="8" xfId="0" applyFont="1" applyBorder="1"/>
    <xf numFmtId="0" fontId="21" fillId="0" borderId="36" xfId="0" applyFont="1" applyBorder="1"/>
    <xf numFmtId="0" fontId="21" fillId="0" borderId="37" xfId="0" applyFont="1" applyBorder="1"/>
    <xf numFmtId="0" fontId="0" fillId="0" borderId="38" xfId="0" applyBorder="1"/>
    <xf numFmtId="0" fontId="33" fillId="0" borderId="0" xfId="0" applyFont="1"/>
    <xf numFmtId="0" fontId="33" fillId="0" borderId="13" xfId="0" applyFont="1" applyBorder="1"/>
    <xf numFmtId="0" fontId="0" fillId="0" borderId="0" xfId="0" applyAlignment="1">
      <alignment horizontal="center"/>
    </xf>
    <xf numFmtId="0" fontId="30" fillId="0" borderId="11" xfId="0" applyFont="1" applyBorder="1"/>
    <xf numFmtId="0" fontId="30" fillId="0" borderId="15" xfId="0" applyFont="1" applyBorder="1"/>
    <xf numFmtId="0" fontId="30" fillId="0" borderId="15" xfId="0" applyFont="1" applyBorder="1" applyAlignment="1">
      <alignment horizontal="left"/>
    </xf>
    <xf numFmtId="0" fontId="85" fillId="0" borderId="15" xfId="0" applyFont="1" applyBorder="1" applyAlignment="1">
      <alignment horizontal="left"/>
    </xf>
    <xf numFmtId="0" fontId="30" fillId="0" borderId="15" xfId="0" applyFont="1" applyBorder="1" applyAlignment="1">
      <alignment horizontal="center"/>
    </xf>
    <xf numFmtId="167" fontId="30" fillId="0" borderId="22" xfId="0" applyNumberFormat="1" applyFont="1" applyBorder="1" applyAlignment="1">
      <alignment horizontal="left"/>
    </xf>
    <xf numFmtId="0" fontId="30" fillId="0" borderId="0" xfId="0" applyFont="1"/>
    <xf numFmtId="0" fontId="28" fillId="0" borderId="0" xfId="0" applyFont="1" applyAlignment="1">
      <alignment horizontal="left"/>
    </xf>
    <xf numFmtId="0" fontId="0" fillId="0" borderId="13" xfId="0" applyBorder="1" applyAlignment="1">
      <alignment horizontal="left"/>
    </xf>
    <xf numFmtId="0" fontId="17" fillId="0" borderId="13" xfId="0" applyFont="1" applyBorder="1" applyAlignment="1">
      <alignment horizontal="left"/>
    </xf>
    <xf numFmtId="0" fontId="0" fillId="0" borderId="13" xfId="0" applyBorder="1" applyAlignment="1">
      <alignment horizontal="center"/>
    </xf>
    <xf numFmtId="0" fontId="0" fillId="0" borderId="3" xfId="0" applyBorder="1"/>
    <xf numFmtId="0" fontId="17" fillId="0" borderId="3" xfId="0" applyFont="1" applyBorder="1" applyAlignment="1">
      <alignment horizontal="center"/>
    </xf>
    <xf numFmtId="0" fontId="30" fillId="0" borderId="22" xfId="0" applyFont="1" applyBorder="1" applyAlignment="1">
      <alignment horizontal="center"/>
    </xf>
    <xf numFmtId="0" fontId="30" fillId="0" borderId="14" xfId="0" applyFont="1" applyBorder="1" applyAlignment="1">
      <alignment horizontal="left"/>
    </xf>
    <xf numFmtId="0" fontId="30" fillId="0" borderId="16" xfId="0" applyFont="1" applyBorder="1"/>
    <xf numFmtId="0" fontId="30" fillId="0" borderId="22" xfId="0" applyFont="1" applyBorder="1"/>
    <xf numFmtId="0" fontId="76" fillId="0" borderId="4" xfId="0" applyFont="1" applyBorder="1" applyAlignment="1">
      <alignment horizontal="center" vertical="center"/>
    </xf>
    <xf numFmtId="0" fontId="30" fillId="0" borderId="0" xfId="0" applyFont="1" applyAlignment="1">
      <alignment horizontal="left"/>
    </xf>
    <xf numFmtId="0" fontId="76" fillId="0" borderId="24" xfId="0" applyFont="1" applyBorder="1" applyAlignment="1">
      <alignment horizontal="center" vertical="center"/>
    </xf>
    <xf numFmtId="166" fontId="64" fillId="0" borderId="4" xfId="0" applyNumberFormat="1" applyFont="1" applyBorder="1" applyAlignment="1">
      <alignment horizontal="center"/>
    </xf>
    <xf numFmtId="0" fontId="30" fillId="0" borderId="17" xfId="0" applyFont="1" applyBorder="1"/>
    <xf numFmtId="0" fontId="0" fillId="0" borderId="17" xfId="0" applyBorder="1"/>
    <xf numFmtId="0" fontId="0" fillId="0" borderId="1" xfId="0" applyBorder="1" applyAlignment="1">
      <alignment horizontal="center"/>
    </xf>
    <xf numFmtId="165" fontId="0" fillId="0" borderId="1" xfId="0" applyNumberFormat="1" applyBorder="1" applyAlignment="1" applyProtection="1">
      <alignment horizontal="center"/>
      <protection locked="0"/>
    </xf>
    <xf numFmtId="0" fontId="29" fillId="5" borderId="0" xfId="0" applyFont="1" applyFill="1"/>
    <xf numFmtId="0" fontId="9" fillId="0" borderId="2" xfId="0" applyFont="1" applyBorder="1"/>
    <xf numFmtId="165" fontId="9" fillId="0" borderId="1" xfId="0" applyNumberFormat="1" applyFont="1" applyBorder="1" applyAlignment="1" applyProtection="1">
      <alignment horizontal="center"/>
      <protection locked="0"/>
    </xf>
    <xf numFmtId="0" fontId="29" fillId="0" borderId="19" xfId="0" applyFont="1" applyBorder="1"/>
    <xf numFmtId="0" fontId="29" fillId="0" borderId="41" xfId="0" applyFont="1" applyBorder="1"/>
    <xf numFmtId="165" fontId="9" fillId="0" borderId="20" xfId="0" applyNumberFormat="1" applyFont="1" applyBorder="1" applyAlignment="1">
      <alignment horizontal="center"/>
    </xf>
    <xf numFmtId="0" fontId="29" fillId="0" borderId="17" xfId="0" applyFont="1" applyBorder="1"/>
    <xf numFmtId="0" fontId="30" fillId="0" borderId="9" xfId="0" applyFont="1" applyBorder="1" applyAlignment="1">
      <alignment horizontal="left"/>
    </xf>
    <xf numFmtId="0" fontId="30" fillId="0" borderId="11" xfId="0" applyFont="1" applyBorder="1" applyAlignment="1">
      <alignment horizontal="left"/>
    </xf>
    <xf numFmtId="167" fontId="30" fillId="0" borderId="9" xfId="0" applyNumberFormat="1" applyFont="1" applyBorder="1" applyAlignment="1">
      <alignment horizontal="left"/>
    </xf>
    <xf numFmtId="167" fontId="30" fillId="0" borderId="0" xfId="0" applyNumberFormat="1" applyFont="1" applyAlignment="1">
      <alignment horizontal="left"/>
    </xf>
    <xf numFmtId="0" fontId="0" fillId="0" borderId="17" xfId="0" applyBorder="1" applyAlignment="1">
      <alignment horizontal="left"/>
    </xf>
    <xf numFmtId="0" fontId="0" fillId="0" borderId="4" xfId="0" applyBorder="1" applyAlignment="1">
      <alignment horizontal="left"/>
    </xf>
    <xf numFmtId="0" fontId="26" fillId="0" borderId="4" xfId="0" applyFont="1" applyBorder="1"/>
    <xf numFmtId="167" fontId="25" fillId="0" borderId="13" xfId="0" applyNumberFormat="1" applyFont="1" applyBorder="1" applyAlignment="1">
      <alignment horizontal="left"/>
    </xf>
    <xf numFmtId="167" fontId="25" fillId="0" borderId="4" xfId="0" applyNumberFormat="1" applyFont="1" applyBorder="1" applyAlignment="1">
      <alignment horizontal="left"/>
    </xf>
    <xf numFmtId="173" fontId="0" fillId="0" borderId="1" xfId="0" applyNumberFormat="1" applyBorder="1" applyAlignment="1" applyProtection="1">
      <alignment horizontal="center"/>
      <protection locked="0"/>
    </xf>
    <xf numFmtId="165" fontId="0" fillId="0" borderId="2" xfId="0" applyNumberFormat="1" applyBorder="1" applyAlignment="1" applyProtection="1">
      <alignment horizontal="center"/>
      <protection locked="0"/>
    </xf>
    <xf numFmtId="165" fontId="0" fillId="0" borderId="29" xfId="0" applyNumberFormat="1" applyBorder="1" applyAlignment="1" applyProtection="1">
      <alignment horizontal="center"/>
      <protection locked="0"/>
    </xf>
    <xf numFmtId="165" fontId="0" fillId="0" borderId="3" xfId="0" applyNumberFormat="1" applyBorder="1" applyAlignment="1" applyProtection="1">
      <alignment horizontal="center"/>
      <protection locked="0"/>
    </xf>
    <xf numFmtId="0" fontId="0" fillId="0" borderId="32" xfId="0" applyBorder="1"/>
    <xf numFmtId="165" fontId="0" fillId="0" borderId="17" xfId="0" applyNumberFormat="1" applyBorder="1" applyAlignment="1" applyProtection="1">
      <alignment horizontal="center"/>
      <protection locked="0"/>
    </xf>
    <xf numFmtId="165" fontId="9" fillId="0" borderId="29" xfId="0" applyNumberFormat="1" applyFont="1" applyBorder="1" applyAlignment="1" applyProtection="1">
      <alignment horizontal="center"/>
      <protection locked="0"/>
    </xf>
    <xf numFmtId="173" fontId="9" fillId="0" borderId="1" xfId="0" applyNumberFormat="1" applyFont="1" applyBorder="1" applyAlignment="1" applyProtection="1">
      <alignment horizontal="center"/>
      <protection locked="0"/>
    </xf>
    <xf numFmtId="165" fontId="0" fillId="0" borderId="16" xfId="0" applyNumberFormat="1" applyBorder="1" applyAlignment="1" applyProtection="1">
      <alignment horizontal="center"/>
      <protection locked="0"/>
    </xf>
    <xf numFmtId="165" fontId="0" fillId="0" borderId="1" xfId="0" applyNumberFormat="1" applyBorder="1" applyAlignment="1">
      <alignment horizontal="center"/>
    </xf>
    <xf numFmtId="165" fontId="0" fillId="0" borderId="2" xfId="0" applyNumberFormat="1" applyBorder="1" applyAlignment="1">
      <alignment horizontal="center"/>
    </xf>
    <xf numFmtId="165" fontId="0" fillId="0" borderId="29" xfId="0" applyNumberFormat="1" applyBorder="1" applyAlignment="1">
      <alignment horizontal="center"/>
    </xf>
    <xf numFmtId="165" fontId="0" fillId="0" borderId="17" xfId="0" applyNumberFormat="1" applyBorder="1" applyAlignment="1">
      <alignment horizontal="center"/>
    </xf>
    <xf numFmtId="0" fontId="29" fillId="0" borderId="11" xfId="0" applyFont="1" applyBorder="1"/>
    <xf numFmtId="165" fontId="9" fillId="0" borderId="1" xfId="0" applyNumberFormat="1" applyFont="1" applyBorder="1" applyAlignment="1">
      <alignment horizontal="center"/>
    </xf>
    <xf numFmtId="165" fontId="9" fillId="0" borderId="29" xfId="0" applyNumberFormat="1" applyFont="1" applyBorder="1" applyAlignment="1">
      <alignment horizontal="center"/>
    </xf>
    <xf numFmtId="0" fontId="9" fillId="0" borderId="23" xfId="0" applyFont="1" applyBorder="1" applyAlignment="1">
      <alignment horizontal="center"/>
    </xf>
    <xf numFmtId="0" fontId="9" fillId="0" borderId="42" xfId="0" applyFont="1" applyBorder="1"/>
    <xf numFmtId="0" fontId="9" fillId="0" borderId="39" xfId="0" applyFont="1" applyBorder="1"/>
    <xf numFmtId="165" fontId="9" fillId="0" borderId="23" xfId="0" applyNumberFormat="1" applyFont="1" applyBorder="1" applyAlignment="1">
      <alignment horizontal="center"/>
    </xf>
    <xf numFmtId="0" fontId="29" fillId="0" borderId="24" xfId="0" applyFont="1" applyBorder="1"/>
    <xf numFmtId="165" fontId="9" fillId="0" borderId="42" xfId="0" applyNumberFormat="1" applyFont="1" applyBorder="1" applyAlignment="1">
      <alignment horizontal="center"/>
    </xf>
    <xf numFmtId="165" fontId="9" fillId="0" borderId="24" xfId="0" applyNumberFormat="1" applyFont="1" applyBorder="1" applyAlignment="1">
      <alignment horizontal="center"/>
    </xf>
    <xf numFmtId="0" fontId="0" fillId="0" borderId="44" xfId="0" applyBorder="1"/>
    <xf numFmtId="0" fontId="0" fillId="0" borderId="45" xfId="0" applyBorder="1"/>
    <xf numFmtId="0" fontId="72" fillId="0" borderId="0" xfId="0" applyFont="1"/>
    <xf numFmtId="0" fontId="89" fillId="0" borderId="0" xfId="0" applyFont="1"/>
    <xf numFmtId="165" fontId="18" fillId="0" borderId="32" xfId="0" applyNumberFormat="1" applyFont="1" applyBorder="1" applyAlignment="1">
      <alignment horizontal="left"/>
    </xf>
    <xf numFmtId="49" fontId="18" fillId="0" borderId="32" xfId="0" applyNumberFormat="1" applyFont="1" applyBorder="1" applyAlignment="1" applyProtection="1">
      <alignment horizontal="center" vertical="center"/>
      <protection locked="0"/>
    </xf>
    <xf numFmtId="0" fontId="89" fillId="0" borderId="45" xfId="0" applyFont="1" applyBorder="1"/>
    <xf numFmtId="165" fontId="19" fillId="0" borderId="0" xfId="0" applyNumberFormat="1" applyFont="1" applyAlignment="1">
      <alignment horizontal="left"/>
    </xf>
    <xf numFmtId="0" fontId="23" fillId="0" borderId="32" xfId="0" applyFont="1" applyBorder="1"/>
    <xf numFmtId="165" fontId="23" fillId="0" borderId="10" xfId="0" applyNumberFormat="1" applyFont="1" applyBorder="1" applyAlignment="1">
      <alignment horizontal="left" vertical="center"/>
    </xf>
    <xf numFmtId="0" fontId="18" fillId="0" borderId="32" xfId="0" applyFont="1" applyBorder="1" applyAlignment="1">
      <alignment horizontal="left"/>
    </xf>
    <xf numFmtId="0" fontId="72" fillId="0" borderId="46" xfId="0" applyFont="1" applyBorder="1"/>
    <xf numFmtId="0" fontId="72" fillId="0" borderId="45" xfId="0" applyFont="1" applyBorder="1"/>
    <xf numFmtId="0" fontId="18" fillId="0" borderId="32" xfId="0" applyFont="1" applyBorder="1" applyAlignment="1">
      <alignment horizontal="center"/>
    </xf>
    <xf numFmtId="0" fontId="90" fillId="0" borderId="0" xfId="0" applyFont="1"/>
    <xf numFmtId="0" fontId="51" fillId="0" borderId="32" xfId="0" applyFont="1" applyBorder="1" applyAlignment="1" applyProtection="1">
      <alignment horizontal="left" vertical="center"/>
      <protection locked="0"/>
    </xf>
    <xf numFmtId="0" fontId="89" fillId="2" borderId="0" xfId="0" applyFont="1" applyFill="1"/>
    <xf numFmtId="0" fontId="91" fillId="0" borderId="0" xfId="0" applyFont="1"/>
    <xf numFmtId="0" fontId="18" fillId="0" borderId="32" xfId="0" applyFont="1" applyBorder="1" applyProtection="1">
      <protection locked="0"/>
    </xf>
    <xf numFmtId="0" fontId="92" fillId="0" borderId="0" xfId="0" applyFont="1"/>
    <xf numFmtId="0" fontId="93" fillId="0" borderId="32" xfId="0" applyFont="1" applyBorder="1" applyAlignment="1" applyProtection="1">
      <alignment horizontal="center"/>
      <protection locked="0"/>
    </xf>
    <xf numFmtId="0" fontId="94" fillId="0" borderId="32" xfId="0" applyFont="1" applyBorder="1" applyAlignment="1" applyProtection="1">
      <alignment horizontal="center"/>
      <protection locked="0"/>
    </xf>
    <xf numFmtId="0" fontId="18" fillId="0" borderId="0" xfId="0" applyFont="1" applyAlignment="1">
      <alignment horizontal="center"/>
    </xf>
    <xf numFmtId="0" fontId="89" fillId="0" borderId="0" xfId="0" applyFont="1" applyAlignment="1">
      <alignment horizontal="left"/>
    </xf>
    <xf numFmtId="0" fontId="89" fillId="0" borderId="32" xfId="0" applyFont="1" applyBorder="1" applyAlignment="1">
      <alignment horizontal="left"/>
    </xf>
    <xf numFmtId="49" fontId="18" fillId="0" borderId="0" xfId="0" applyNumberFormat="1" applyFont="1" applyAlignment="1">
      <alignment horizontal="center"/>
    </xf>
    <xf numFmtId="0" fontId="89" fillId="0" borderId="32" xfId="0" applyFont="1" applyBorder="1" applyAlignment="1">
      <alignment horizontal="right"/>
    </xf>
    <xf numFmtId="0" fontId="95" fillId="0" borderId="0" xfId="0" applyFont="1" applyAlignment="1">
      <alignment horizontal="center"/>
    </xf>
    <xf numFmtId="0" fontId="89" fillId="0" borderId="10" xfId="0" applyFont="1" applyBorder="1" applyAlignment="1">
      <alignment horizontal="left"/>
    </xf>
    <xf numFmtId="49" fontId="18" fillId="0" borderId="10" xfId="0" applyNumberFormat="1" applyFont="1" applyBorder="1" applyAlignment="1">
      <alignment horizontal="center"/>
    </xf>
    <xf numFmtId="0" fontId="23" fillId="0" borderId="10" xfId="0" applyFont="1" applyBorder="1" applyAlignment="1">
      <alignment horizontal="center"/>
    </xf>
    <xf numFmtId="0" fontId="89" fillId="0" borderId="10" xfId="0" applyFont="1" applyBorder="1" applyAlignment="1">
      <alignment horizontal="right"/>
    </xf>
    <xf numFmtId="0" fontId="18" fillId="0" borderId="10" xfId="0" applyFont="1" applyBorder="1" applyAlignment="1">
      <alignment horizontal="center"/>
    </xf>
    <xf numFmtId="0" fontId="51" fillId="0" borderId="10" xfId="0" applyFont="1" applyBorder="1" applyAlignment="1">
      <alignment horizontal="center"/>
    </xf>
    <xf numFmtId="0" fontId="96" fillId="0" borderId="10" xfId="0" applyFont="1" applyBorder="1" applyAlignment="1">
      <alignment horizontal="left"/>
    </xf>
    <xf numFmtId="0" fontId="96" fillId="0" borderId="46" xfId="0" applyFont="1" applyBorder="1" applyAlignment="1">
      <alignment horizontal="left"/>
    </xf>
    <xf numFmtId="49" fontId="18" fillId="0" borderId="46" xfId="0" applyNumberFormat="1" applyFont="1" applyBorder="1" applyAlignment="1">
      <alignment horizontal="center"/>
    </xf>
    <xf numFmtId="0" fontId="51" fillId="0" borderId="46" xfId="0" applyFont="1" applyBorder="1" applyAlignment="1">
      <alignment horizontal="center"/>
    </xf>
    <xf numFmtId="0" fontId="89" fillId="0" borderId="0" xfId="0" applyFont="1" applyAlignment="1">
      <alignment horizontal="right"/>
    </xf>
    <xf numFmtId="0" fontId="51" fillId="0" borderId="0" xfId="0" applyFont="1" applyAlignment="1">
      <alignment horizontal="center"/>
    </xf>
    <xf numFmtId="0" fontId="97" fillId="0" borderId="0" xfId="0" applyFont="1" applyAlignment="1">
      <alignment horizontal="center"/>
    </xf>
    <xf numFmtId="0" fontId="72" fillId="0" borderId="45" xfId="0" applyFont="1" applyBorder="1" applyAlignment="1">
      <alignment horizontal="center"/>
    </xf>
    <xf numFmtId="0" fontId="0" fillId="0" borderId="45" xfId="0" applyBorder="1" applyAlignment="1">
      <alignment horizontal="center"/>
    </xf>
    <xf numFmtId="0" fontId="98" fillId="0" borderId="45" xfId="0" applyFont="1" applyBorder="1" applyAlignment="1">
      <alignment horizontal="center"/>
    </xf>
    <xf numFmtId="0" fontId="90" fillId="0" borderId="32" xfId="0" applyFont="1" applyBorder="1"/>
    <xf numFmtId="0" fontId="99" fillId="0" borderId="0" xfId="0" applyFont="1"/>
    <xf numFmtId="0" fontId="100" fillId="0" borderId="0" xfId="0" applyFont="1"/>
    <xf numFmtId="0" fontId="72" fillId="0" borderId="32" xfId="0" applyFont="1" applyBorder="1"/>
    <xf numFmtId="0" fontId="100" fillId="0" borderId="32" xfId="0" applyFont="1" applyBorder="1"/>
    <xf numFmtId="164" fontId="9" fillId="0" borderId="0" xfId="0" applyNumberFormat="1" applyFont="1" applyAlignment="1">
      <alignment horizontal="center"/>
    </xf>
    <xf numFmtId="0" fontId="3" fillId="0" borderId="1" xfId="6" applyBorder="1" applyAlignment="1">
      <alignment horizontal="left" textRotation="90"/>
    </xf>
    <xf numFmtId="0" fontId="3" fillId="0" borderId="29" xfId="6" applyBorder="1" applyAlignment="1">
      <alignment horizontal="left"/>
    </xf>
    <xf numFmtId="0" fontId="3" fillId="0" borderId="38" xfId="6" applyBorder="1"/>
    <xf numFmtId="0" fontId="3" fillId="0" borderId="2" xfId="6" applyBorder="1"/>
    <xf numFmtId="0" fontId="3" fillId="0" borderId="0" xfId="6"/>
    <xf numFmtId="0" fontId="3" fillId="0" borderId="1" xfId="6" applyBorder="1" applyAlignment="1">
      <alignment horizontal="left" textRotation="90" wrapText="1"/>
    </xf>
    <xf numFmtId="0" fontId="3" fillId="0" borderId="29" xfId="6" applyBorder="1" applyAlignment="1">
      <alignment horizontal="left" textRotation="90" wrapText="1"/>
    </xf>
    <xf numFmtId="0" fontId="3" fillId="0" borderId="29" xfId="6" applyBorder="1" applyAlignment="1">
      <alignment horizontal="left" textRotation="90"/>
    </xf>
    <xf numFmtId="0" fontId="3" fillId="0" borderId="29" xfId="6" applyBorder="1"/>
    <xf numFmtId="0" fontId="102" fillId="0" borderId="0" xfId="6" applyFont="1" applyAlignment="1">
      <alignment horizontal="right" textRotation="90"/>
    </xf>
    <xf numFmtId="0" fontId="66" fillId="0" borderId="0" xfId="0" applyFont="1"/>
    <xf numFmtId="0" fontId="103" fillId="0" borderId="0" xfId="0" applyFont="1"/>
    <xf numFmtId="0" fontId="66" fillId="0" borderId="44" xfId="0" applyFont="1" applyBorder="1"/>
    <xf numFmtId="0" fontId="66" fillId="0" borderId="45" xfId="0" applyFont="1" applyBorder="1"/>
    <xf numFmtId="0" fontId="70" fillId="0" borderId="0" xfId="0" applyFont="1"/>
    <xf numFmtId="49" fontId="106" fillId="0" borderId="21" xfId="0" applyNumberFormat="1" applyFont="1" applyBorder="1" applyAlignment="1">
      <alignment vertical="center" wrapText="1"/>
    </xf>
    <xf numFmtId="49" fontId="106" fillId="0" borderId="4" xfId="0" applyNumberFormat="1" applyFont="1" applyBorder="1" applyAlignment="1">
      <alignment vertical="center" wrapText="1" shrinkToFit="1"/>
    </xf>
    <xf numFmtId="49" fontId="106" fillId="0" borderId="1" xfId="0" applyNumberFormat="1" applyFont="1" applyBorder="1" applyAlignment="1">
      <alignment vertical="center" wrapText="1" shrinkToFit="1"/>
    </xf>
    <xf numFmtId="49" fontId="107" fillId="0" borderId="55" xfId="1" applyNumberFormat="1" applyFont="1" applyBorder="1" applyAlignment="1" applyProtection="1">
      <alignment horizontal="left" vertical="center"/>
    </xf>
    <xf numFmtId="49" fontId="106" fillId="0" borderId="1" xfId="0" applyNumberFormat="1" applyFont="1" applyBorder="1" applyAlignment="1">
      <alignment horizontal="left" vertical="center" wrapText="1"/>
    </xf>
    <xf numFmtId="49" fontId="109" fillId="0" borderId="56" xfId="1" applyNumberFormat="1" applyFont="1" applyBorder="1" applyAlignment="1" applyProtection="1">
      <alignment horizontal="left" vertical="center"/>
    </xf>
    <xf numFmtId="49" fontId="110" fillId="0" borderId="56" xfId="0" applyNumberFormat="1" applyFont="1" applyBorder="1" applyAlignment="1">
      <alignment horizontal="left" vertical="center"/>
    </xf>
    <xf numFmtId="49" fontId="107" fillId="0" borderId="56" xfId="1" applyNumberFormat="1" applyFont="1" applyBorder="1" applyAlignment="1" applyProtection="1">
      <alignment vertical="center" shrinkToFit="1"/>
    </xf>
    <xf numFmtId="172" fontId="72" fillId="0" borderId="0" xfId="0" applyNumberFormat="1" applyFont="1" applyAlignment="1">
      <alignment horizontal="center"/>
    </xf>
    <xf numFmtId="0" fontId="68" fillId="0" borderId="0" xfId="0" applyFont="1"/>
    <xf numFmtId="0" fontId="9" fillId="0" borderId="31" xfId="0" applyFont="1" applyBorder="1" applyAlignment="1">
      <alignment vertical="center" shrinkToFit="1"/>
    </xf>
    <xf numFmtId="0" fontId="18" fillId="0" borderId="3" xfId="0" applyFont="1" applyBorder="1" applyAlignment="1">
      <alignment vertical="center"/>
    </xf>
    <xf numFmtId="0" fontId="111" fillId="0" borderId="26" xfId="7" applyFont="1" applyBorder="1" applyAlignment="1">
      <alignment horizontal="left" vertical="center"/>
    </xf>
    <xf numFmtId="3" fontId="17" fillId="0" borderId="6" xfId="0" applyNumberFormat="1" applyFont="1" applyBorder="1" applyAlignment="1" applyProtection="1">
      <alignment horizontal="center"/>
      <protection locked="0"/>
    </xf>
    <xf numFmtId="174" fontId="76" fillId="0" borderId="0" xfId="0" applyNumberFormat="1" applyFont="1" applyAlignment="1">
      <alignment horizontal="center"/>
    </xf>
    <xf numFmtId="174" fontId="18" fillId="0" borderId="32" xfId="0" applyNumberFormat="1" applyFont="1" applyBorder="1" applyAlignment="1" applyProtection="1">
      <alignment horizontal="left"/>
      <protection locked="0"/>
    </xf>
    <xf numFmtId="174" fontId="95" fillId="0" borderId="0" xfId="0" applyNumberFormat="1" applyFont="1" applyAlignment="1">
      <alignment horizontal="center"/>
    </xf>
    <xf numFmtId="14" fontId="112" fillId="0" borderId="1" xfId="0" applyNumberFormat="1" applyFont="1" applyBorder="1" applyAlignment="1">
      <alignment horizontal="center" vertical="center" wrapText="1"/>
    </xf>
    <xf numFmtId="49" fontId="112" fillId="0" borderId="1" xfId="0" applyNumberFormat="1" applyFont="1" applyBorder="1" applyAlignment="1">
      <alignment horizontal="center" vertical="center" wrapText="1"/>
    </xf>
    <xf numFmtId="0" fontId="23" fillId="0" borderId="32" xfId="0" applyFont="1" applyBorder="1" applyAlignment="1">
      <alignment horizontal="center"/>
    </xf>
    <xf numFmtId="49" fontId="18" fillId="0" borderId="32" xfId="0" applyNumberFormat="1" applyFont="1" applyBorder="1" applyAlignment="1">
      <alignment horizontal="center"/>
    </xf>
    <xf numFmtId="0" fontId="114" fillId="2" borderId="0" xfId="0" applyFont="1" applyFill="1"/>
    <xf numFmtId="0" fontId="114" fillId="0" borderId="0" xfId="0" applyFont="1"/>
    <xf numFmtId="49" fontId="114" fillId="0" borderId="0" xfId="0" applyNumberFormat="1" applyFont="1" applyAlignment="1">
      <alignment horizontal="left"/>
    </xf>
    <xf numFmtId="0" fontId="113" fillId="0" borderId="57" xfId="7" applyFont="1" applyBorder="1" applyAlignment="1">
      <alignment horizontal="left" vertical="center"/>
    </xf>
    <xf numFmtId="0" fontId="51" fillId="0" borderId="3" xfId="0" applyFont="1" applyBorder="1" applyAlignment="1">
      <alignment vertical="center"/>
    </xf>
    <xf numFmtId="165" fontId="86" fillId="0" borderId="4" xfId="0" applyNumberFormat="1" applyFont="1" applyBorder="1" applyAlignment="1">
      <alignment horizontal="center" vertical="center"/>
    </xf>
    <xf numFmtId="0" fontId="0" fillId="0" borderId="11" xfId="0" applyBorder="1" applyAlignment="1" applyProtection="1">
      <alignment horizontal="center" vertical="center"/>
      <protection locked="0"/>
    </xf>
    <xf numFmtId="0" fontId="0" fillId="0" borderId="11" xfId="0" applyBorder="1" applyAlignment="1" applyProtection="1">
      <alignment horizontal="center"/>
      <protection locked="0"/>
    </xf>
    <xf numFmtId="0" fontId="111" fillId="0" borderId="58" xfId="0" applyFont="1" applyBorder="1" applyAlignment="1">
      <alignment horizontal="left" vertical="center" wrapText="1"/>
    </xf>
    <xf numFmtId="0" fontId="108" fillId="0" borderId="56" xfId="1" applyBorder="1" applyProtection="1"/>
    <xf numFmtId="49" fontId="106" fillId="2" borderId="29" xfId="0" applyNumberFormat="1" applyFont="1" applyFill="1" applyBorder="1" applyAlignment="1">
      <alignment horizontal="left" vertical="center" wrapText="1"/>
    </xf>
    <xf numFmtId="49" fontId="106" fillId="2" borderId="11" xfId="0" applyNumberFormat="1" applyFont="1" applyFill="1" applyBorder="1" applyAlignment="1">
      <alignment horizontal="left" vertical="center" wrapText="1"/>
    </xf>
    <xf numFmtId="49" fontId="106" fillId="0" borderId="9" xfId="0" applyNumberFormat="1" applyFont="1" applyBorder="1" applyAlignment="1">
      <alignment vertical="center" wrapText="1" shrinkToFit="1"/>
    </xf>
    <xf numFmtId="49" fontId="109" fillId="0" borderId="59" xfId="1" applyNumberFormat="1" applyFont="1" applyBorder="1" applyAlignment="1" applyProtection="1">
      <alignment horizontal="left" vertical="center"/>
    </xf>
    <xf numFmtId="0" fontId="111" fillId="0" borderId="1" xfId="0" applyFont="1" applyBorder="1" applyAlignment="1">
      <alignment horizontal="center"/>
    </xf>
    <xf numFmtId="0" fontId="3" fillId="0" borderId="1" xfId="0" applyFont="1" applyBorder="1" applyAlignment="1">
      <alignment horizontal="center"/>
    </xf>
    <xf numFmtId="165" fontId="18" fillId="0" borderId="0" xfId="0" applyNumberFormat="1" applyFont="1" applyAlignment="1">
      <alignment horizontal="center" vertical="center"/>
    </xf>
    <xf numFmtId="165" fontId="18" fillId="0" borderId="0" xfId="0" applyNumberFormat="1" applyFont="1" applyAlignment="1">
      <alignment horizontal="center"/>
    </xf>
    <xf numFmtId="165" fontId="18" fillId="3" borderId="1" xfId="0" applyNumberFormat="1" applyFont="1" applyFill="1" applyBorder="1" applyAlignment="1">
      <alignment horizontal="center"/>
    </xf>
    <xf numFmtId="0" fontId="9" fillId="0" borderId="1" xfId="0" applyFont="1" applyBorder="1" applyAlignment="1">
      <alignment shrinkToFit="1"/>
    </xf>
    <xf numFmtId="0" fontId="9" fillId="0" borderId="1" xfId="0" applyFont="1" applyBorder="1" applyAlignment="1">
      <alignment horizontal="left" shrinkToFit="1"/>
    </xf>
    <xf numFmtId="0" fontId="9" fillId="0" borderId="47" xfId="0" applyFont="1" applyBorder="1" applyAlignment="1">
      <alignment horizontal="center"/>
    </xf>
    <xf numFmtId="0" fontId="9" fillId="0" borderId="62" xfId="0" applyFont="1" applyBorder="1" applyAlignment="1">
      <alignment horizontal="center"/>
    </xf>
    <xf numFmtId="0" fontId="9" fillId="0" borderId="61" xfId="0" applyFont="1" applyBorder="1" applyAlignment="1">
      <alignment horizontal="center"/>
    </xf>
    <xf numFmtId="0" fontId="111" fillId="0" borderId="4" xfId="0" applyFont="1" applyBorder="1" applyAlignment="1">
      <alignment horizontal="center"/>
    </xf>
    <xf numFmtId="0" fontId="12" fillId="0" borderId="15" xfId="0" applyFont="1" applyBorder="1"/>
    <xf numFmtId="174" fontId="18" fillId="0" borderId="1" xfId="0" applyNumberFormat="1" applyFont="1" applyBorder="1" applyAlignment="1">
      <alignment horizontal="center" vertical="center"/>
    </xf>
    <xf numFmtId="0" fontId="18" fillId="0" borderId="0" xfId="0" applyFont="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6" fillId="0" borderId="1" xfId="0" applyFont="1" applyBorder="1" applyAlignment="1">
      <alignment horizontal="center" vertical="center"/>
    </xf>
    <xf numFmtId="0" fontId="15" fillId="0" borderId="0" xfId="0" applyFont="1" applyAlignment="1">
      <alignment horizontal="center" vertical="center"/>
    </xf>
    <xf numFmtId="0" fontId="14" fillId="0" borderId="0" xfId="0" applyFont="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xf>
    <xf numFmtId="0" fontId="9" fillId="2" borderId="1" xfId="0" applyFont="1" applyFill="1" applyBorder="1" applyAlignment="1">
      <alignment shrinkToFit="1"/>
    </xf>
    <xf numFmtId="0" fontId="3" fillId="0" borderId="1" xfId="0" applyFont="1" applyBorder="1" applyAlignment="1">
      <alignment shrinkToFit="1"/>
    </xf>
    <xf numFmtId="0" fontId="0" fillId="0" borderId="0" xfId="0" applyAlignment="1">
      <alignment horizontal="center" vertical="center"/>
    </xf>
    <xf numFmtId="166" fontId="9" fillId="0" borderId="1" xfId="0" applyNumberFormat="1" applyFont="1" applyBorder="1" applyAlignment="1">
      <alignment horizontal="center"/>
    </xf>
    <xf numFmtId="166" fontId="9" fillId="2" borderId="1" xfId="0" applyNumberFormat="1" applyFont="1" applyFill="1" applyBorder="1" applyAlignment="1">
      <alignment horizontal="center"/>
    </xf>
    <xf numFmtId="49" fontId="9" fillId="0" borderId="1" xfId="0" applyNumberFormat="1" applyFont="1" applyBorder="1" applyAlignment="1">
      <alignment horizontal="center"/>
    </xf>
    <xf numFmtId="49" fontId="9" fillId="2" borderId="1" xfId="0" applyNumberFormat="1" applyFont="1" applyFill="1" applyBorder="1" applyAlignment="1">
      <alignment horizontal="center"/>
    </xf>
    <xf numFmtId="49" fontId="3" fillId="0" borderId="1" xfId="0" applyNumberFormat="1" applyFont="1" applyBorder="1" applyAlignment="1">
      <alignment horizontal="center"/>
    </xf>
    <xf numFmtId="49" fontId="9" fillId="0" borderId="5" xfId="0" applyNumberFormat="1" applyFont="1" applyBorder="1" applyAlignment="1">
      <alignment horizontal="center" vertical="center"/>
    </xf>
    <xf numFmtId="0" fontId="0" fillId="0" borderId="23" xfId="0" applyBorder="1" applyAlignment="1">
      <alignment shrinkToFit="1"/>
    </xf>
    <xf numFmtId="0" fontId="9" fillId="2" borderId="23" xfId="0" applyFont="1" applyFill="1" applyBorder="1" applyAlignment="1">
      <alignment horizontal="center"/>
    </xf>
    <xf numFmtId="166" fontId="9" fillId="2" borderId="23" xfId="0" applyNumberFormat="1" applyFont="1" applyFill="1" applyBorder="1" applyAlignment="1">
      <alignment horizontal="center"/>
    </xf>
    <xf numFmtId="49" fontId="9" fillId="2" borderId="23" xfId="0" applyNumberFormat="1" applyFont="1" applyFill="1" applyBorder="1" applyAlignment="1">
      <alignment horizontal="center"/>
    </xf>
    <xf numFmtId="0" fontId="0" fillId="0" borderId="29" xfId="0" applyBorder="1" applyAlignment="1">
      <alignment horizontal="center"/>
    </xf>
    <xf numFmtId="0" fontId="9" fillId="0" borderId="6" xfId="0" applyFont="1" applyBorder="1" applyAlignment="1">
      <alignment vertical="center"/>
    </xf>
    <xf numFmtId="166" fontId="9" fillId="0" borderId="10" xfId="0" applyNumberFormat="1" applyFont="1" applyBorder="1" applyAlignment="1">
      <alignment horizontal="left" vertical="center"/>
    </xf>
    <xf numFmtId="49" fontId="9" fillId="0" borderId="6" xfId="0" applyNumberFormat="1" applyFont="1" applyBorder="1" applyAlignment="1">
      <alignment horizontal="left" vertical="center"/>
    </xf>
    <xf numFmtId="0" fontId="111" fillId="0" borderId="58" xfId="0" applyFont="1" applyBorder="1" applyAlignment="1">
      <alignment vertical="center"/>
    </xf>
    <xf numFmtId="0" fontId="117" fillId="0" borderId="17" xfId="0" applyFont="1" applyBorder="1" applyAlignment="1">
      <alignment horizontal="center"/>
    </xf>
    <xf numFmtId="0" fontId="117" fillId="0" borderId="17" xfId="0" applyFont="1" applyBorder="1" applyAlignment="1">
      <alignment horizontal="center" vertical="center"/>
    </xf>
    <xf numFmtId="0" fontId="9" fillId="0" borderId="8" xfId="0" applyFont="1" applyBorder="1" applyAlignment="1">
      <alignment vertical="center" shrinkToFit="1"/>
    </xf>
    <xf numFmtId="0" fontId="9" fillId="0" borderId="10" xfId="0" applyFont="1" applyBorder="1" applyAlignment="1">
      <alignment vertical="center" shrinkToFit="1"/>
    </xf>
    <xf numFmtId="0" fontId="9" fillId="0" borderId="6" xfId="0" applyFont="1" applyBorder="1" applyAlignment="1">
      <alignment vertical="center" wrapText="1"/>
    </xf>
    <xf numFmtId="166" fontId="9" fillId="0" borderId="10" xfId="0" applyNumberFormat="1" applyFont="1" applyBorder="1" applyAlignment="1">
      <alignment vertical="center"/>
    </xf>
    <xf numFmtId="0" fontId="9" fillId="0" borderId="8" xfId="0" applyFont="1" applyBorder="1" applyAlignment="1">
      <alignment horizontal="left" vertical="center" shrinkToFit="1"/>
    </xf>
    <xf numFmtId="0" fontId="9" fillId="0" borderId="10" xfId="0" applyFont="1" applyBorder="1" applyAlignment="1">
      <alignment horizontal="left" vertical="center" shrinkToFit="1"/>
    </xf>
    <xf numFmtId="0" fontId="9" fillId="0" borderId="6" xfId="0" applyFont="1" applyBorder="1" applyAlignment="1">
      <alignment horizontal="left" vertical="center" wrapText="1"/>
    </xf>
    <xf numFmtId="166" fontId="9" fillId="0" borderId="10" xfId="0" applyNumberFormat="1" applyFont="1" applyBorder="1" applyAlignment="1">
      <alignment horizontal="right" vertical="center"/>
    </xf>
    <xf numFmtId="165" fontId="114" fillId="0" borderId="0" xfId="0" applyNumberFormat="1" applyFont="1" applyAlignment="1">
      <alignment horizontal="left"/>
    </xf>
    <xf numFmtId="0" fontId="40" fillId="0" borderId="29" xfId="0" applyFont="1" applyBorder="1" applyAlignment="1">
      <alignment horizontal="left" vertical="center" wrapText="1"/>
    </xf>
    <xf numFmtId="0" fontId="40" fillId="0" borderId="2" xfId="0" applyFont="1" applyBorder="1" applyAlignment="1">
      <alignment horizontal="left" vertical="center" wrapText="1"/>
    </xf>
    <xf numFmtId="0" fontId="111" fillId="13" borderId="1" xfId="0" applyFont="1" applyFill="1" applyBorder="1" applyAlignment="1">
      <alignment horizontal="center"/>
    </xf>
    <xf numFmtId="0" fontId="111" fillId="13" borderId="47" xfId="0" applyFont="1" applyFill="1" applyBorder="1" applyAlignment="1">
      <alignment horizontal="center"/>
    </xf>
    <xf numFmtId="0" fontId="111" fillId="13" borderId="1" xfId="0" applyFont="1" applyFill="1" applyBorder="1" applyAlignment="1">
      <alignment shrinkToFit="1"/>
    </xf>
    <xf numFmtId="166" fontId="111" fillId="13" borderId="1" xfId="0" applyNumberFormat="1" applyFont="1" applyFill="1" applyBorder="1" applyAlignment="1">
      <alignment horizontal="center"/>
    </xf>
    <xf numFmtId="49" fontId="111" fillId="13" borderId="1" xfId="0" applyNumberFormat="1" applyFont="1" applyFill="1" applyBorder="1" applyAlignment="1">
      <alignment horizontal="center"/>
    </xf>
    <xf numFmtId="166" fontId="9" fillId="0" borderId="7" xfId="0" applyNumberFormat="1" applyFont="1" applyBorder="1" applyAlignment="1">
      <alignment vertical="center"/>
    </xf>
    <xf numFmtId="0" fontId="111" fillId="0" borderId="47" xfId="0" applyFont="1" applyBorder="1" applyAlignment="1">
      <alignment horizontal="center"/>
    </xf>
    <xf numFmtId="0" fontId="111" fillId="13" borderId="0" xfId="0" applyFont="1" applyFill="1" applyAlignment="1">
      <alignment vertical="center"/>
    </xf>
    <xf numFmtId="0" fontId="127" fillId="0" borderId="72" xfId="0" applyFont="1" applyBorder="1" applyAlignment="1" applyProtection="1">
      <alignment horizontal="center" vertical="center"/>
      <protection locked="0"/>
    </xf>
    <xf numFmtId="0" fontId="127" fillId="0" borderId="72" xfId="0" applyFont="1" applyBorder="1" applyAlignment="1" applyProtection="1">
      <alignment horizontal="left" vertical="center"/>
      <protection locked="0"/>
    </xf>
    <xf numFmtId="0" fontId="127" fillId="0" borderId="72" xfId="0" applyFont="1" applyBorder="1" applyAlignment="1" applyProtection="1">
      <alignment horizontal="center" vertical="center" wrapText="1"/>
      <protection locked="0"/>
    </xf>
    <xf numFmtId="1" fontId="127" fillId="0" borderId="72" xfId="0" applyNumberFormat="1" applyFont="1" applyBorder="1" applyAlignment="1" applyProtection="1">
      <alignment horizontal="center" vertical="center"/>
      <protection locked="0"/>
    </xf>
    <xf numFmtId="49" fontId="127" fillId="0" borderId="72" xfId="0" applyNumberFormat="1" applyFont="1" applyBorder="1" applyAlignment="1" applyProtection="1">
      <alignment horizontal="center" vertical="center"/>
      <protection locked="0"/>
    </xf>
    <xf numFmtId="49" fontId="127" fillId="0" borderId="72" xfId="0" applyNumberFormat="1" applyFont="1" applyBorder="1" applyAlignment="1" applyProtection="1">
      <alignment horizontal="center" vertical="center" wrapText="1"/>
      <protection locked="0"/>
    </xf>
    <xf numFmtId="0" fontId="127" fillId="0" borderId="72" xfId="0" applyFont="1" applyBorder="1" applyAlignment="1" applyProtection="1">
      <alignment horizontal="left" vertical="center" wrapText="1"/>
      <protection locked="0"/>
    </xf>
    <xf numFmtId="0" fontId="72" fillId="0" borderId="72" xfId="0" applyFont="1" applyBorder="1" applyAlignment="1" applyProtection="1">
      <alignment horizontal="center" vertical="center"/>
      <protection locked="0"/>
    </xf>
    <xf numFmtId="0" fontId="72" fillId="0" borderId="72" xfId="0" applyFont="1" applyBorder="1" applyAlignment="1" applyProtection="1">
      <alignment horizontal="left" vertical="center"/>
      <protection locked="0"/>
    </xf>
    <xf numFmtId="1" fontId="72" fillId="0" borderId="72" xfId="0" applyNumberFormat="1" applyFont="1" applyBorder="1" applyAlignment="1" applyProtection="1">
      <alignment horizontal="center" vertical="center"/>
      <protection locked="0"/>
    </xf>
    <xf numFmtId="49" fontId="72" fillId="0" borderId="72" xfId="0" applyNumberFormat="1" applyFont="1" applyBorder="1" applyAlignment="1" applyProtection="1">
      <alignment horizontal="center" vertical="center"/>
      <protection locked="0"/>
    </xf>
    <xf numFmtId="49" fontId="72" fillId="0" borderId="72" xfId="0" applyNumberFormat="1" applyFont="1" applyBorder="1" applyAlignment="1" applyProtection="1">
      <alignment horizontal="left" vertical="center"/>
      <protection locked="0"/>
    </xf>
    <xf numFmtId="0" fontId="9" fillId="0" borderId="72" xfId="0" applyFont="1" applyBorder="1" applyAlignment="1">
      <alignment shrinkToFit="1"/>
    </xf>
    <xf numFmtId="0" fontId="9" fillId="0" borderId="72" xfId="0" applyFont="1" applyBorder="1" applyAlignment="1">
      <alignment horizontal="center"/>
    </xf>
    <xf numFmtId="0" fontId="111" fillId="0" borderId="72" xfId="0" applyFont="1" applyBorder="1" applyAlignment="1">
      <alignment horizontal="center"/>
    </xf>
    <xf numFmtId="0" fontId="111" fillId="11" borderId="72" xfId="0" applyFont="1" applyFill="1" applyBorder="1" applyAlignment="1">
      <alignment horizontal="center"/>
    </xf>
    <xf numFmtId="166" fontId="9" fillId="0" borderId="72" xfId="0" applyNumberFormat="1" applyFont="1" applyBorder="1" applyAlignment="1">
      <alignment horizontal="center"/>
    </xf>
    <xf numFmtId="49" fontId="9" fillId="0" borderId="72" xfId="0" applyNumberFormat="1" applyFont="1" applyBorder="1" applyAlignment="1">
      <alignment horizontal="center"/>
    </xf>
    <xf numFmtId="0" fontId="9" fillId="10" borderId="47" xfId="0" applyFont="1" applyFill="1" applyBorder="1" applyAlignment="1">
      <alignment horizontal="center"/>
    </xf>
    <xf numFmtId="0" fontId="47" fillId="0" borderId="0" xfId="0" applyFont="1" applyAlignment="1">
      <alignment textRotation="90"/>
    </xf>
    <xf numFmtId="0" fontId="47" fillId="0" borderId="17" xfId="0" applyFont="1" applyBorder="1" applyAlignment="1">
      <alignment textRotation="90"/>
    </xf>
    <xf numFmtId="0" fontId="9" fillId="0" borderId="6" xfId="0" applyFont="1" applyBorder="1" applyAlignment="1">
      <alignment horizontal="center" vertical="center" wrapText="1"/>
    </xf>
    <xf numFmtId="0" fontId="111" fillId="0" borderId="8" xfId="0" applyFont="1" applyBorder="1" applyAlignment="1">
      <alignment vertical="center" shrinkToFit="1"/>
    </xf>
    <xf numFmtId="0" fontId="111" fillId="0" borderId="10" xfId="0" applyFont="1" applyBorder="1" applyAlignment="1">
      <alignment horizontal="center" vertical="center"/>
    </xf>
    <xf numFmtId="0" fontId="111" fillId="0" borderId="6" xfId="0" applyFont="1" applyBorder="1" applyAlignment="1">
      <alignment vertical="center" shrinkToFit="1"/>
    </xf>
    <xf numFmtId="0" fontId="18" fillId="0" borderId="60" xfId="0" applyFont="1" applyBorder="1" applyAlignment="1">
      <alignment horizontal="center" vertical="center"/>
    </xf>
    <xf numFmtId="0" fontId="18" fillId="0" borderId="18" xfId="0" applyFont="1" applyBorder="1" applyAlignment="1">
      <alignment horizontal="center" vertical="center" shrinkToFit="1"/>
    </xf>
    <xf numFmtId="0" fontId="18" fillId="0" borderId="18" xfId="0" applyFont="1" applyBorder="1" applyAlignment="1">
      <alignment horizontal="center" vertical="center"/>
    </xf>
    <xf numFmtId="0" fontId="9" fillId="10" borderId="71" xfId="0" applyFont="1" applyFill="1" applyBorder="1" applyAlignment="1">
      <alignment horizontal="center"/>
    </xf>
    <xf numFmtId="0" fontId="116" fillId="7" borderId="18" xfId="0" applyFont="1" applyFill="1" applyBorder="1" applyAlignment="1">
      <alignment horizontal="center" vertical="center"/>
    </xf>
    <xf numFmtId="0" fontId="116" fillId="6" borderId="18" xfId="0" applyFont="1" applyFill="1" applyBorder="1" applyAlignment="1">
      <alignment horizontal="center" vertical="center" wrapText="1"/>
    </xf>
    <xf numFmtId="0" fontId="116" fillId="6" borderId="51" xfId="0" applyFont="1" applyFill="1" applyBorder="1" applyAlignment="1">
      <alignment horizontal="center" vertical="center"/>
    </xf>
    <xf numFmtId="0" fontId="118" fillId="8" borderId="51" xfId="0" applyFont="1" applyFill="1" applyBorder="1" applyAlignment="1">
      <alignment horizontal="center" vertical="center" wrapText="1"/>
    </xf>
    <xf numFmtId="0" fontId="128" fillId="0" borderId="22" xfId="0" applyFont="1" applyBorder="1" applyAlignment="1">
      <alignment horizontal="left" vertical="center"/>
    </xf>
    <xf numFmtId="0" fontId="127" fillId="0" borderId="72" xfId="0" applyFont="1" applyBorder="1" applyAlignment="1" applyProtection="1">
      <alignment vertical="center"/>
      <protection locked="0"/>
    </xf>
    <xf numFmtId="49" fontId="127" fillId="0" borderId="72" xfId="0" applyNumberFormat="1" applyFont="1" applyBorder="1" applyAlignment="1" applyProtection="1">
      <alignment vertical="center"/>
      <protection locked="0"/>
    </xf>
    <xf numFmtId="0" fontId="111" fillId="0" borderId="29" xfId="0" applyFont="1" applyBorder="1" applyAlignment="1">
      <alignment horizontal="center"/>
    </xf>
    <xf numFmtId="49" fontId="9" fillId="0" borderId="58" xfId="0" applyNumberFormat="1" applyFont="1" applyBorder="1" applyAlignment="1">
      <alignment horizontal="center" vertical="center"/>
    </xf>
    <xf numFmtId="0" fontId="9" fillId="0" borderId="0" xfId="0" applyFont="1" applyAlignment="1">
      <alignment horizontal="center" vertical="center"/>
    </xf>
    <xf numFmtId="14" fontId="9" fillId="0" borderId="5" xfId="0" applyNumberFormat="1" applyFont="1" applyBorder="1" applyAlignment="1">
      <alignment horizontal="center" vertical="center"/>
    </xf>
    <xf numFmtId="0" fontId="59" fillId="0" borderId="5" xfId="0" applyFont="1" applyBorder="1" applyAlignment="1">
      <alignment horizontal="center" vertical="center"/>
    </xf>
    <xf numFmtId="0" fontId="116" fillId="15" borderId="53" xfId="0" applyFont="1" applyFill="1" applyBorder="1" applyAlignment="1">
      <alignment horizontal="center" vertical="center"/>
    </xf>
    <xf numFmtId="0" fontId="116" fillId="14" borderId="75" xfId="0" applyFont="1" applyFill="1" applyBorder="1" applyAlignment="1">
      <alignment horizontal="center" vertical="center"/>
    </xf>
    <xf numFmtId="0" fontId="116" fillId="15" borderId="51" xfId="0" applyFont="1" applyFill="1" applyBorder="1" applyAlignment="1">
      <alignment horizontal="center" vertical="center"/>
    </xf>
    <xf numFmtId="0" fontId="116" fillId="7" borderId="51" xfId="0" applyFont="1" applyFill="1" applyBorder="1" applyAlignment="1">
      <alignment horizontal="center" vertical="center"/>
    </xf>
    <xf numFmtId="0" fontId="9" fillId="0" borderId="40" xfId="0" applyFont="1" applyBorder="1" applyAlignment="1">
      <alignment horizontal="center"/>
    </xf>
    <xf numFmtId="0" fontId="9" fillId="0" borderId="40" xfId="0" applyFont="1" applyBorder="1" applyAlignment="1">
      <alignment shrinkToFit="1"/>
    </xf>
    <xf numFmtId="0" fontId="116" fillId="8" borderId="51" xfId="0" applyFont="1" applyFill="1" applyBorder="1" applyAlignment="1">
      <alignment horizontal="center" vertical="center"/>
    </xf>
    <xf numFmtId="14" fontId="0" fillId="2" borderId="72" xfId="0" applyNumberFormat="1" applyFill="1" applyBorder="1" applyAlignment="1">
      <alignment horizontal="center"/>
    </xf>
    <xf numFmtId="0" fontId="0" fillId="2" borderId="56" xfId="0" applyFill="1" applyBorder="1" applyAlignment="1">
      <alignment horizontal="center"/>
    </xf>
    <xf numFmtId="0" fontId="0" fillId="0" borderId="56" xfId="0" applyBorder="1" applyAlignment="1">
      <alignment horizontal="center"/>
    </xf>
    <xf numFmtId="0" fontId="0" fillId="0" borderId="41" xfId="0" applyBorder="1" applyAlignment="1">
      <alignment horizontal="center"/>
    </xf>
    <xf numFmtId="0" fontId="0" fillId="2" borderId="72" xfId="0" applyFill="1" applyBorder="1" applyAlignment="1">
      <alignment horizontal="center"/>
    </xf>
    <xf numFmtId="0" fontId="0" fillId="0" borderId="72" xfId="0" applyBorder="1" applyAlignment="1">
      <alignment horizontal="center"/>
    </xf>
    <xf numFmtId="0" fontId="0" fillId="2" borderId="23" xfId="0" applyFill="1" applyBorder="1" applyAlignment="1">
      <alignment horizontal="center"/>
    </xf>
    <xf numFmtId="0" fontId="0" fillId="2" borderId="76" xfId="0" applyFill="1" applyBorder="1" applyAlignment="1">
      <alignment horizontal="center"/>
    </xf>
    <xf numFmtId="14" fontId="0" fillId="0" borderId="22" xfId="0" applyNumberFormat="1" applyBorder="1" applyAlignment="1">
      <alignment horizontal="center"/>
    </xf>
    <xf numFmtId="14" fontId="0" fillId="0" borderId="72" xfId="0" applyNumberFormat="1" applyBorder="1" applyAlignment="1">
      <alignment horizontal="center"/>
    </xf>
    <xf numFmtId="0" fontId="131" fillId="0" borderId="22" xfId="0" applyFont="1" applyBorder="1" applyAlignment="1">
      <alignment horizontal="left" vertical="center"/>
    </xf>
    <xf numFmtId="0" fontId="59" fillId="0" borderId="0" xfId="0" applyFont="1"/>
    <xf numFmtId="49" fontId="9" fillId="0" borderId="22" xfId="0" applyNumberFormat="1" applyFont="1" applyBorder="1" applyAlignment="1">
      <alignment horizontal="center" vertical="center"/>
    </xf>
    <xf numFmtId="0" fontId="83" fillId="0" borderId="0" xfId="0" applyFont="1" applyAlignment="1">
      <alignment horizontal="center" vertical="center"/>
    </xf>
    <xf numFmtId="14" fontId="9" fillId="0" borderId="0" xfId="0" applyNumberFormat="1" applyFont="1" applyAlignment="1">
      <alignment horizontal="center" vertical="center"/>
    </xf>
    <xf numFmtId="0" fontId="111" fillId="0" borderId="0" xfId="0" applyFont="1" applyAlignment="1">
      <alignment horizontal="center" vertical="center"/>
    </xf>
    <xf numFmtId="0" fontId="111" fillId="0" borderId="0" xfId="0" applyFont="1" applyAlignment="1">
      <alignment horizontal="center"/>
    </xf>
    <xf numFmtId="49" fontId="9" fillId="0" borderId="0" xfId="0" applyNumberFormat="1" applyFont="1" applyAlignment="1">
      <alignment horizontal="center"/>
    </xf>
    <xf numFmtId="166" fontId="9" fillId="0" borderId="0" xfId="0" applyNumberFormat="1" applyFont="1" applyAlignment="1">
      <alignment horizontal="center"/>
    </xf>
    <xf numFmtId="0" fontId="17" fillId="0" borderId="11" xfId="0" applyFont="1" applyBorder="1" applyAlignment="1">
      <alignment horizontal="right"/>
    </xf>
    <xf numFmtId="0" fontId="133" fillId="0" borderId="72" xfId="0" applyFont="1" applyBorder="1" applyAlignment="1">
      <alignment horizontal="center" vertical="center"/>
    </xf>
    <xf numFmtId="0" fontId="105" fillId="0" borderId="1" xfId="0" applyFont="1" applyBorder="1" applyAlignment="1">
      <alignment horizontal="left" vertical="center"/>
    </xf>
    <xf numFmtId="0" fontId="105" fillId="0" borderId="1" xfId="0" applyFont="1" applyBorder="1" applyAlignment="1">
      <alignment horizontal="left" vertical="center" shrinkToFit="1"/>
    </xf>
    <xf numFmtId="0" fontId="105" fillId="0" borderId="72" xfId="0" applyFont="1" applyBorder="1" applyAlignment="1">
      <alignment horizontal="center" vertical="center"/>
    </xf>
    <xf numFmtId="0" fontId="9" fillId="0" borderId="0" xfId="0" applyFont="1" applyAlignment="1">
      <alignment vertical="center"/>
    </xf>
    <xf numFmtId="0" fontId="136" fillId="0" borderId="72" xfId="0" applyFont="1" applyBorder="1" applyAlignment="1">
      <alignment horizontal="right" vertical="center"/>
    </xf>
    <xf numFmtId="0" fontId="136" fillId="0" borderId="72" xfId="0" applyFont="1" applyBorder="1" applyAlignment="1">
      <alignment horizontal="center" vertical="center"/>
    </xf>
    <xf numFmtId="0" fontId="136" fillId="0" borderId="1" xfId="0" applyFont="1" applyBorder="1" applyAlignment="1">
      <alignment horizontal="center" vertical="center"/>
    </xf>
    <xf numFmtId="0" fontId="76" fillId="0" borderId="9" xfId="0" applyFont="1" applyBorder="1" applyAlignment="1">
      <alignment horizontal="center" vertical="center"/>
    </xf>
    <xf numFmtId="0" fontId="9" fillId="0" borderId="0" xfId="0" applyFont="1" applyAlignment="1">
      <alignment vertical="top"/>
    </xf>
    <xf numFmtId="0" fontId="134" fillId="0" borderId="0" xfId="0" applyFont="1" applyAlignment="1">
      <alignment horizontal="right" vertical="center"/>
    </xf>
    <xf numFmtId="175" fontId="86" fillId="0" borderId="4" xfId="0" applyNumberFormat="1" applyFont="1" applyBorder="1" applyAlignment="1">
      <alignment horizontal="center" vertical="center"/>
    </xf>
    <xf numFmtId="0" fontId="106" fillId="0" borderId="40" xfId="0" applyFont="1" applyBorder="1" applyAlignment="1">
      <alignment horizontal="left" vertical="center" wrapText="1"/>
    </xf>
    <xf numFmtId="0" fontId="106" fillId="0" borderId="9" xfId="0" applyFont="1" applyBorder="1" applyAlignment="1">
      <alignment horizontal="left" vertical="center" wrapText="1"/>
    </xf>
    <xf numFmtId="0" fontId="106" fillId="0" borderId="72" xfId="0" applyFont="1" applyBorder="1" applyAlignment="1">
      <alignment horizontal="left" vertical="center" wrapText="1"/>
    </xf>
    <xf numFmtId="0" fontId="106" fillId="0" borderId="5" xfId="0" applyFont="1" applyBorder="1" applyAlignment="1">
      <alignment horizontal="left" vertical="center" wrapText="1"/>
    </xf>
    <xf numFmtId="0" fontId="106" fillId="0" borderId="40" xfId="0" applyFont="1" applyBorder="1" applyAlignment="1">
      <alignment horizontal="center" vertical="center"/>
    </xf>
    <xf numFmtId="0" fontId="106" fillId="0" borderId="4" xfId="0" applyFont="1" applyBorder="1" applyAlignment="1">
      <alignment horizontal="center" vertical="center" wrapText="1"/>
    </xf>
    <xf numFmtId="0" fontId="106" fillId="0" borderId="11" xfId="0" applyFont="1" applyBorder="1" applyAlignment="1">
      <alignment horizontal="center" vertical="center"/>
    </xf>
    <xf numFmtId="0" fontId="106" fillId="0" borderId="72" xfId="0" applyFont="1" applyBorder="1" applyAlignment="1">
      <alignment horizontal="center" vertical="center"/>
    </xf>
    <xf numFmtId="0" fontId="106" fillId="0" borderId="23" xfId="0" applyFont="1" applyBorder="1" applyAlignment="1">
      <alignment horizontal="center" vertical="center"/>
    </xf>
    <xf numFmtId="0" fontId="106" fillId="2" borderId="80" xfId="0" applyFont="1" applyFill="1" applyBorder="1" applyAlignment="1">
      <alignment horizontal="center" vertical="center"/>
    </xf>
    <xf numFmtId="0" fontId="106" fillId="2" borderId="49" xfId="0" applyFont="1" applyFill="1" applyBorder="1" applyAlignment="1">
      <alignment horizontal="center" vertical="center"/>
    </xf>
    <xf numFmtId="0" fontId="106" fillId="2" borderId="47" xfId="0" applyFont="1" applyFill="1" applyBorder="1" applyAlignment="1">
      <alignment horizontal="center" vertical="center"/>
    </xf>
    <xf numFmtId="0" fontId="106" fillId="2" borderId="54" xfId="0" applyFont="1" applyFill="1" applyBorder="1" applyAlignment="1">
      <alignment horizontal="center" vertical="center"/>
    </xf>
    <xf numFmtId="0" fontId="0" fillId="0" borderId="0" xfId="0" applyAlignment="1">
      <alignment vertical="center"/>
    </xf>
    <xf numFmtId="0" fontId="12" fillId="0" borderId="0" xfId="0" applyFont="1" applyAlignment="1">
      <alignment vertical="center"/>
    </xf>
    <xf numFmtId="0" fontId="13" fillId="0" borderId="0" xfId="0" applyFont="1" applyAlignment="1">
      <alignment horizontal="right" vertical="center"/>
    </xf>
    <xf numFmtId="0" fontId="10" fillId="0" borderId="0" xfId="0" applyFont="1" applyAlignment="1">
      <alignment vertical="center"/>
    </xf>
    <xf numFmtId="174" fontId="18" fillId="0" borderId="11" xfId="0" applyNumberFormat="1" applyFont="1" applyBorder="1" applyAlignment="1">
      <alignment vertical="center"/>
    </xf>
    <xf numFmtId="0" fontId="18" fillId="0" borderId="0" xfId="0" applyFont="1" applyAlignment="1">
      <alignment vertical="center"/>
    </xf>
    <xf numFmtId="0" fontId="111" fillId="13" borderId="29" xfId="0" applyFont="1" applyFill="1" applyBorder="1" applyAlignment="1">
      <alignment horizontal="center"/>
    </xf>
    <xf numFmtId="0" fontId="111" fillId="0" borderId="21" xfId="0" applyFont="1" applyBorder="1" applyAlignment="1">
      <alignment horizontal="center"/>
    </xf>
    <xf numFmtId="0" fontId="0" fillId="11" borderId="29" xfId="0" applyFill="1" applyBorder="1" applyAlignment="1">
      <alignment horizontal="center"/>
    </xf>
    <xf numFmtId="14" fontId="9" fillId="0" borderId="72" xfId="0" applyNumberFormat="1" applyFont="1" applyBorder="1" applyAlignment="1">
      <alignment horizontal="center"/>
    </xf>
    <xf numFmtId="0" fontId="9" fillId="0" borderId="56" xfId="0" applyFont="1" applyBorder="1" applyAlignment="1">
      <alignment horizontal="center"/>
    </xf>
    <xf numFmtId="0" fontId="0" fillId="11" borderId="72" xfId="0" applyFill="1" applyBorder="1" applyAlignment="1">
      <alignment horizontal="center"/>
    </xf>
    <xf numFmtId="0" fontId="0" fillId="12" borderId="72" xfId="0" applyFill="1" applyBorder="1" applyAlignment="1">
      <alignment horizontal="center"/>
    </xf>
    <xf numFmtId="14" fontId="9" fillId="0" borderId="9" xfId="0" applyNumberFormat="1" applyFont="1" applyBorder="1" applyAlignment="1">
      <alignment horizontal="center"/>
    </xf>
    <xf numFmtId="14" fontId="9" fillId="0" borderId="22" xfId="0" applyNumberFormat="1" applyFont="1" applyBorder="1" applyAlignment="1">
      <alignment horizontal="center"/>
    </xf>
    <xf numFmtId="0" fontId="124" fillId="0" borderId="1" xfId="0" applyFont="1" applyBorder="1" applyAlignment="1">
      <alignment horizontal="center"/>
    </xf>
    <xf numFmtId="0" fontId="124" fillId="0" borderId="29" xfId="0" applyFont="1" applyBorder="1" applyAlignment="1">
      <alignment horizontal="center"/>
    </xf>
    <xf numFmtId="0" fontId="125" fillId="0" borderId="1" xfId="0" applyFont="1" applyBorder="1" applyAlignment="1">
      <alignment horizontal="center"/>
    </xf>
    <xf numFmtId="166" fontId="9" fillId="0" borderId="23" xfId="0" applyNumberFormat="1" applyFont="1" applyBorder="1" applyAlignment="1">
      <alignment horizontal="center"/>
    </xf>
    <xf numFmtId="14" fontId="9" fillId="0" borderId="23" xfId="0" applyNumberFormat="1" applyFont="1" applyBorder="1" applyAlignment="1">
      <alignment horizontal="center"/>
    </xf>
    <xf numFmtId="0" fontId="9" fillId="0" borderId="48" xfId="0" applyFont="1" applyBorder="1" applyAlignment="1">
      <alignment horizontal="center"/>
    </xf>
    <xf numFmtId="166" fontId="9" fillId="0" borderId="4" xfId="0" applyNumberFormat="1" applyFont="1" applyBorder="1" applyAlignment="1">
      <alignment horizontal="center"/>
    </xf>
    <xf numFmtId="49" fontId="9" fillId="0" borderId="40" xfId="0" applyNumberFormat="1" applyFont="1" applyBorder="1" applyAlignment="1">
      <alignment horizontal="center"/>
    </xf>
    <xf numFmtId="0" fontId="0" fillId="2" borderId="40" xfId="0" applyFill="1" applyBorder="1" applyAlignment="1">
      <alignment horizontal="center"/>
    </xf>
    <xf numFmtId="0" fontId="0" fillId="2" borderId="4" xfId="0" applyFill="1" applyBorder="1" applyAlignment="1">
      <alignment horizontal="center"/>
    </xf>
    <xf numFmtId="0" fontId="0" fillId="2" borderId="29" xfId="0" applyFill="1" applyBorder="1" applyAlignment="1">
      <alignment horizontal="center"/>
    </xf>
    <xf numFmtId="14" fontId="9" fillId="0" borderId="40" xfId="0" applyNumberFormat="1" applyFont="1" applyBorder="1" applyAlignment="1">
      <alignment horizontal="center"/>
    </xf>
    <xf numFmtId="0" fontId="9" fillId="0" borderId="74" xfId="0" applyFont="1" applyBorder="1" applyAlignment="1">
      <alignment horizontal="center"/>
    </xf>
    <xf numFmtId="0" fontId="9" fillId="10" borderId="47" xfId="0" applyFont="1" applyFill="1" applyBorder="1" applyAlignment="1">
      <alignment horizontal="center" wrapText="1"/>
    </xf>
    <xf numFmtId="0" fontId="111" fillId="2" borderId="1" xfId="0" applyFont="1" applyFill="1" applyBorder="1" applyAlignment="1">
      <alignment horizontal="center"/>
    </xf>
    <xf numFmtId="0" fontId="0" fillId="2" borderId="1" xfId="0" applyFill="1" applyBorder="1" applyAlignment="1">
      <alignment horizontal="center"/>
    </xf>
    <xf numFmtId="0" fontId="0" fillId="12" borderId="29" xfId="0" applyFill="1" applyBorder="1" applyAlignment="1">
      <alignment horizontal="center"/>
    </xf>
    <xf numFmtId="0" fontId="15" fillId="10" borderId="47" xfId="0" applyFont="1" applyFill="1" applyBorder="1" applyAlignment="1">
      <alignment horizontal="center"/>
    </xf>
    <xf numFmtId="3" fontId="9" fillId="0" borderId="1" xfId="0" applyNumberFormat="1" applyFont="1" applyBorder="1" applyAlignment="1">
      <alignment horizontal="center" wrapText="1"/>
    </xf>
    <xf numFmtId="3" fontId="9" fillId="0" borderId="29" xfId="0" applyNumberFormat="1" applyFont="1" applyBorder="1" applyAlignment="1">
      <alignment horizontal="center" wrapText="1"/>
    </xf>
    <xf numFmtId="0" fontId="125" fillId="0" borderId="29" xfId="0" applyFont="1" applyBorder="1" applyAlignment="1">
      <alignment horizontal="center"/>
    </xf>
    <xf numFmtId="14" fontId="9" fillId="0" borderId="1" xfId="0" applyNumberFormat="1" applyFont="1" applyBorder="1" applyAlignment="1">
      <alignment horizontal="center"/>
    </xf>
    <xf numFmtId="0" fontId="124" fillId="0" borderId="72" xfId="0" applyFont="1" applyBorder="1" applyAlignment="1">
      <alignment horizontal="center"/>
    </xf>
    <xf numFmtId="0" fontId="0" fillId="2" borderId="42" xfId="0" applyFill="1" applyBorder="1" applyAlignment="1">
      <alignment horizontal="center"/>
    </xf>
    <xf numFmtId="0" fontId="125" fillId="11" borderId="1" xfId="0" applyFont="1" applyFill="1" applyBorder="1" applyAlignment="1">
      <alignment horizontal="center"/>
    </xf>
    <xf numFmtId="0" fontId="111" fillId="11" borderId="29" xfId="0" applyFont="1" applyFill="1" applyBorder="1" applyAlignment="1">
      <alignment horizontal="center"/>
    </xf>
    <xf numFmtId="0" fontId="3" fillId="0" borderId="72" xfId="0" applyFont="1" applyBorder="1" applyAlignment="1">
      <alignment horizontal="center"/>
    </xf>
    <xf numFmtId="0" fontId="9" fillId="0" borderId="29" xfId="0" applyFont="1" applyBorder="1" applyAlignment="1">
      <alignment shrinkToFit="1"/>
    </xf>
    <xf numFmtId="0" fontId="9" fillId="0" borderId="2" xfId="0" applyFont="1" applyBorder="1" applyAlignment="1">
      <alignment shrinkToFit="1"/>
    </xf>
    <xf numFmtId="0" fontId="111" fillId="0" borderId="56" xfId="0" applyFont="1" applyBorder="1" applyAlignment="1">
      <alignment horizontal="center"/>
    </xf>
    <xf numFmtId="0" fontId="113" fillId="0" borderId="72" xfId="7" applyFont="1" applyBorder="1" applyAlignment="1">
      <alignment horizontal="left" vertical="center"/>
    </xf>
    <xf numFmtId="14" fontId="112" fillId="0" borderId="72" xfId="0" applyNumberFormat="1" applyFont="1" applyBorder="1" applyAlignment="1">
      <alignment horizontal="center" vertical="center" wrapText="1"/>
    </xf>
    <xf numFmtId="49" fontId="112" fillId="0" borderId="72" xfId="0" applyNumberFormat="1" applyFont="1" applyBorder="1" applyAlignment="1">
      <alignment horizontal="center" vertical="center" wrapText="1"/>
    </xf>
    <xf numFmtId="49" fontId="126" fillId="0" borderId="72" xfId="0" applyNumberFormat="1" applyFont="1" applyBorder="1" applyAlignment="1">
      <alignment horizontal="center" vertical="center" wrapText="1"/>
    </xf>
    <xf numFmtId="166" fontId="9" fillId="0" borderId="0" xfId="0" applyNumberFormat="1" applyFont="1" applyAlignment="1">
      <alignment horizontal="center" vertical="center"/>
    </xf>
    <xf numFmtId="49" fontId="9" fillId="0" borderId="0" xfId="0" applyNumberFormat="1" applyFont="1" applyAlignment="1">
      <alignment horizontal="center" vertical="center"/>
    </xf>
    <xf numFmtId="0" fontId="0" fillId="0" borderId="23" xfId="0" applyBorder="1" applyAlignment="1">
      <alignment horizontal="center" vertical="center"/>
    </xf>
    <xf numFmtId="165" fontId="0" fillId="0" borderId="23" xfId="0" applyNumberFormat="1" applyBorder="1" applyAlignment="1" applyProtection="1">
      <alignment horizontal="center"/>
      <protection locked="0"/>
    </xf>
    <xf numFmtId="0" fontId="9" fillId="0" borderId="23" xfId="0" applyFont="1" applyBorder="1" applyAlignment="1">
      <alignment horizontal="left" shrinkToFit="1"/>
    </xf>
    <xf numFmtId="0" fontId="111" fillId="11" borderId="23" xfId="0" applyFont="1" applyFill="1" applyBorder="1" applyAlignment="1">
      <alignment horizontal="center"/>
    </xf>
    <xf numFmtId="0" fontId="0" fillId="0" borderId="23" xfId="0" applyBorder="1" applyAlignment="1">
      <alignment horizontal="center"/>
    </xf>
    <xf numFmtId="0" fontId="111" fillId="0" borderId="23" xfId="0" applyFont="1" applyBorder="1" applyAlignment="1">
      <alignment horizontal="center"/>
    </xf>
    <xf numFmtId="14" fontId="9" fillId="0" borderId="73" xfId="0" applyNumberFormat="1" applyFont="1" applyBorder="1" applyAlignment="1">
      <alignment horizontal="center"/>
    </xf>
    <xf numFmtId="0" fontId="40" fillId="0" borderId="11" xfId="0" applyFont="1" applyBorder="1"/>
    <xf numFmtId="0" fontId="0" fillId="0" borderId="12" xfId="0" applyBorder="1" applyAlignment="1">
      <alignment horizontal="center" vertical="center"/>
    </xf>
    <xf numFmtId="0" fontId="9" fillId="0" borderId="12" xfId="0" applyFont="1" applyBorder="1" applyAlignment="1">
      <alignment horizontal="center" vertical="center"/>
    </xf>
    <xf numFmtId="166" fontId="9" fillId="0" borderId="12" xfId="0" applyNumberFormat="1" applyFont="1" applyBorder="1" applyAlignment="1">
      <alignment horizontal="center" vertical="center"/>
    </xf>
    <xf numFmtId="49" fontId="9" fillId="0" borderId="12" xfId="0" applyNumberFormat="1" applyFont="1" applyBorder="1" applyAlignment="1">
      <alignment horizontal="center" vertical="center"/>
    </xf>
    <xf numFmtId="0" fontId="9" fillId="0" borderId="34" xfId="0" applyFont="1" applyBorder="1" applyAlignment="1">
      <alignment horizontal="center" vertical="center"/>
    </xf>
    <xf numFmtId="14" fontId="9" fillId="0" borderId="12" xfId="0" applyNumberFormat="1" applyFont="1" applyBorder="1" applyAlignment="1">
      <alignment horizontal="center" vertical="center"/>
    </xf>
    <xf numFmtId="0" fontId="59" fillId="0" borderId="12" xfId="0" applyFont="1" applyBorder="1" applyAlignment="1">
      <alignment horizontal="center" vertical="center"/>
    </xf>
    <xf numFmtId="165" fontId="9" fillId="0" borderId="0" xfId="0" applyNumberFormat="1" applyFont="1" applyAlignment="1">
      <alignment horizontal="center"/>
    </xf>
    <xf numFmtId="165" fontId="0" fillId="0" borderId="72" xfId="0" applyNumberFormat="1" applyBorder="1" applyAlignment="1">
      <alignment horizontal="center"/>
    </xf>
    <xf numFmtId="0" fontId="134" fillId="0" borderId="8" xfId="0" applyFont="1" applyBorder="1" applyAlignment="1">
      <alignment vertical="center" shrinkToFit="1"/>
    </xf>
    <xf numFmtId="0" fontId="111" fillId="0" borderId="6" xfId="0" applyFont="1" applyBorder="1" applyAlignment="1" applyProtection="1">
      <alignment horizontal="center"/>
      <protection locked="0"/>
    </xf>
    <xf numFmtId="0" fontId="111" fillId="0" borderId="0" xfId="0" applyFont="1"/>
    <xf numFmtId="0" fontId="0" fillId="0" borderId="58" xfId="0" applyBorder="1" applyAlignment="1">
      <alignment horizontal="center" vertical="center"/>
    </xf>
    <xf numFmtId="14" fontId="3" fillId="0" borderId="1" xfId="0" applyNumberFormat="1" applyFont="1" applyBorder="1" applyAlignment="1">
      <alignment horizontal="center"/>
    </xf>
    <xf numFmtId="0" fontId="9" fillId="0" borderId="12" xfId="0" applyFont="1" applyBorder="1" applyAlignment="1">
      <alignment horizontal="left" vertical="center" shrinkToFit="1"/>
    </xf>
    <xf numFmtId="0" fontId="111" fillId="0" borderId="6" xfId="0" applyFont="1" applyBorder="1" applyAlignment="1">
      <alignment shrinkToFit="1"/>
    </xf>
    <xf numFmtId="0" fontId="111" fillId="0" borderId="6" xfId="0" applyFont="1" applyBorder="1" applyAlignment="1">
      <alignment horizontal="center" shrinkToFit="1"/>
    </xf>
    <xf numFmtId="0" fontId="113" fillId="0" borderId="15" xfId="7" applyFont="1" applyBorder="1" applyAlignment="1">
      <alignment horizontal="left" vertical="center"/>
    </xf>
    <xf numFmtId="14" fontId="112" fillId="0" borderId="15" xfId="0" applyNumberFormat="1" applyFont="1" applyBorder="1" applyAlignment="1">
      <alignment horizontal="center" vertical="center" wrapText="1"/>
    </xf>
    <xf numFmtId="49" fontId="112" fillId="0" borderId="15" xfId="0" applyNumberFormat="1" applyFont="1" applyBorder="1" applyAlignment="1">
      <alignment horizontal="center" vertical="center" wrapText="1"/>
    </xf>
    <xf numFmtId="0" fontId="123" fillId="0" borderId="14" xfId="0" applyFont="1" applyBorder="1" applyAlignment="1" applyProtection="1">
      <alignment horizontal="left" vertical="center"/>
      <protection locked="0"/>
    </xf>
    <xf numFmtId="49" fontId="112" fillId="0" borderId="16" xfId="0" applyNumberFormat="1" applyFont="1" applyBorder="1" applyAlignment="1">
      <alignment horizontal="center" vertical="center" wrapText="1"/>
    </xf>
    <xf numFmtId="0" fontId="9" fillId="0" borderId="29" xfId="0" applyFont="1" applyBorder="1" applyAlignment="1">
      <alignment horizontal="center"/>
    </xf>
    <xf numFmtId="0" fontId="9" fillId="0" borderId="2" xfId="0" applyFont="1" applyBorder="1" applyAlignment="1">
      <alignment horizontal="center"/>
    </xf>
    <xf numFmtId="0" fontId="9" fillId="0" borderId="29" xfId="0" applyFont="1" applyBorder="1" applyAlignment="1">
      <alignment horizontal="left" shrinkToFit="1"/>
    </xf>
    <xf numFmtId="0" fontId="9" fillId="0" borderId="2" xfId="0" applyFont="1" applyBorder="1" applyAlignment="1">
      <alignment horizontal="left" shrinkToFit="1"/>
    </xf>
    <xf numFmtId="0" fontId="9" fillId="2" borderId="29" xfId="0" applyFont="1" applyFill="1" applyBorder="1" applyAlignment="1">
      <alignment horizontal="left" shrinkToFit="1"/>
    </xf>
    <xf numFmtId="0" fontId="9" fillId="2" borderId="2" xfId="0" applyFont="1" applyFill="1" applyBorder="1" applyAlignment="1">
      <alignment horizontal="left" shrinkToFit="1"/>
    </xf>
    <xf numFmtId="0" fontId="9" fillId="0" borderId="1" xfId="0" applyFont="1" applyBorder="1" applyAlignment="1">
      <alignment horizontal="center"/>
    </xf>
    <xf numFmtId="0" fontId="9" fillId="0" borderId="29" xfId="0" applyFont="1" applyBorder="1" applyAlignment="1">
      <alignment shrinkToFit="1"/>
    </xf>
    <xf numFmtId="0" fontId="9" fillId="0" borderId="2" xfId="0" applyFont="1" applyBorder="1" applyAlignment="1">
      <alignment shrinkToFit="1"/>
    </xf>
    <xf numFmtId="0" fontId="9" fillId="0" borderId="29" xfId="0" applyFont="1" applyBorder="1" applyAlignment="1">
      <alignment horizontal="left"/>
    </xf>
    <xf numFmtId="0" fontId="9" fillId="0" borderId="2" xfId="0" applyFont="1" applyBorder="1" applyAlignment="1">
      <alignment horizontal="left"/>
    </xf>
    <xf numFmtId="0" fontId="9" fillId="2" borderId="42" xfId="0" applyFont="1" applyFill="1" applyBorder="1" applyAlignment="1">
      <alignment horizontal="center"/>
    </xf>
    <xf numFmtId="0" fontId="9" fillId="2" borderId="73" xfId="0" applyFont="1" applyFill="1" applyBorder="1" applyAlignment="1">
      <alignment horizontal="center"/>
    </xf>
    <xf numFmtId="0" fontId="9" fillId="2" borderId="42" xfId="0" applyFont="1" applyFill="1" applyBorder="1" applyAlignment="1">
      <alignment horizontal="left" shrinkToFit="1"/>
    </xf>
    <xf numFmtId="0" fontId="9" fillId="2" borderId="73" xfId="0" applyFont="1" applyFill="1" applyBorder="1" applyAlignment="1">
      <alignment horizontal="left" shrinkToFit="1"/>
    </xf>
    <xf numFmtId="0" fontId="9" fillId="0" borderId="29" xfId="0" applyFont="1" applyBorder="1" applyAlignment="1">
      <alignment horizontal="center" shrinkToFit="1"/>
    </xf>
    <xf numFmtId="0" fontId="9" fillId="0" borderId="2" xfId="0" applyFont="1" applyBorder="1" applyAlignment="1">
      <alignment horizontal="center" shrinkToFit="1"/>
    </xf>
    <xf numFmtId="0" fontId="9" fillId="2" borderId="29" xfId="0" applyFont="1" applyFill="1" applyBorder="1" applyAlignment="1">
      <alignment horizontal="center"/>
    </xf>
    <xf numFmtId="0" fontId="9" fillId="2" borderId="2" xfId="0" applyFont="1" applyFill="1" applyBorder="1" applyAlignment="1">
      <alignment horizontal="center"/>
    </xf>
    <xf numFmtId="0" fontId="9" fillId="2" borderId="29" xfId="0" applyFont="1" applyFill="1" applyBorder="1" applyAlignment="1">
      <alignment horizontal="center" shrinkToFit="1"/>
    </xf>
    <xf numFmtId="0" fontId="9" fillId="2" borderId="2" xfId="0" applyFont="1" applyFill="1" applyBorder="1" applyAlignment="1">
      <alignment horizontal="center" shrinkToFit="1"/>
    </xf>
    <xf numFmtId="0" fontId="111" fillId="13" borderId="29" xfId="0" applyFont="1" applyFill="1" applyBorder="1" applyAlignment="1">
      <alignment horizontal="center"/>
    </xf>
    <xf numFmtId="0" fontId="111" fillId="13" borderId="2" xfId="0" applyFont="1" applyFill="1" applyBorder="1" applyAlignment="1">
      <alignment horizontal="center"/>
    </xf>
    <xf numFmtId="0" fontId="111" fillId="13" borderId="29" xfId="0" applyFont="1" applyFill="1" applyBorder="1" applyAlignment="1">
      <alignment shrinkToFit="1"/>
    </xf>
    <xf numFmtId="0" fontId="111" fillId="13" borderId="2" xfId="0" applyFont="1" applyFill="1" applyBorder="1" applyAlignment="1">
      <alignment shrinkToFit="1"/>
    </xf>
    <xf numFmtId="0" fontId="3" fillId="0" borderId="29" xfId="0" applyFont="1" applyBorder="1" applyAlignment="1">
      <alignment shrinkToFit="1"/>
    </xf>
    <xf numFmtId="0" fontId="3" fillId="0" borderId="2" xfId="0" applyFont="1" applyBorder="1" applyAlignment="1">
      <alignment shrinkToFit="1"/>
    </xf>
    <xf numFmtId="0" fontId="120" fillId="0" borderId="29" xfId="0" applyFont="1" applyBorder="1" applyAlignment="1">
      <alignment horizontal="right" vertical="center" wrapText="1"/>
    </xf>
    <xf numFmtId="0" fontId="120" fillId="0" borderId="2" xfId="0" applyFont="1" applyBorder="1" applyAlignment="1">
      <alignment horizontal="right" vertical="center" wrapText="1"/>
    </xf>
    <xf numFmtId="0" fontId="18" fillId="0" borderId="0" xfId="0" applyFont="1" applyAlignment="1">
      <alignment horizontal="center" shrinkToFit="1"/>
    </xf>
    <xf numFmtId="0" fontId="9" fillId="0" borderId="0" xfId="0" applyFont="1" applyAlignment="1">
      <alignment horizontal="center"/>
    </xf>
    <xf numFmtId="0" fontId="9" fillId="0" borderId="0" xfId="0" applyFont="1" applyAlignment="1">
      <alignment horizontal="left"/>
    </xf>
    <xf numFmtId="0" fontId="120" fillId="0" borderId="29" xfId="0" applyFont="1" applyBorder="1" applyAlignment="1">
      <alignment horizontal="right" vertical="center"/>
    </xf>
    <xf numFmtId="0" fontId="120" fillId="0" borderId="2" xfId="0" applyFont="1" applyBorder="1" applyAlignment="1">
      <alignment horizontal="right" vertical="center"/>
    </xf>
    <xf numFmtId="0" fontId="121" fillId="0" borderId="29" xfId="0" applyFont="1" applyBorder="1" applyAlignment="1">
      <alignment horizontal="right" vertical="center" wrapText="1"/>
    </xf>
    <xf numFmtId="0" fontId="121" fillId="0" borderId="2" xfId="0" applyFont="1" applyBorder="1" applyAlignment="1">
      <alignment horizontal="right" vertical="center" wrapText="1"/>
    </xf>
    <xf numFmtId="0" fontId="10" fillId="0" borderId="29" xfId="0" applyFont="1" applyBorder="1" applyAlignment="1">
      <alignment horizontal="right" vertical="center"/>
    </xf>
    <xf numFmtId="0" fontId="10" fillId="0" borderId="2" xfId="0" applyFont="1" applyBorder="1" applyAlignment="1">
      <alignment horizontal="right" vertical="center"/>
    </xf>
    <xf numFmtId="0" fontId="18" fillId="0" borderId="56" xfId="0" applyFont="1" applyBorder="1" applyAlignment="1">
      <alignment horizontal="center" vertical="center"/>
    </xf>
    <xf numFmtId="0" fontId="18" fillId="0" borderId="47" xfId="0" applyFont="1" applyBorder="1" applyAlignment="1">
      <alignment horizontal="center" vertical="center"/>
    </xf>
    <xf numFmtId="0" fontId="18" fillId="0" borderId="77" xfId="0" applyFont="1" applyBorder="1" applyAlignment="1">
      <alignment horizontal="center" vertical="center"/>
    </xf>
    <xf numFmtId="0" fontId="18" fillId="0" borderId="29" xfId="0" applyFont="1" applyBorder="1" applyAlignment="1">
      <alignment horizontal="center" vertical="center"/>
    </xf>
    <xf numFmtId="0" fontId="18" fillId="0" borderId="2" xfId="0" applyFont="1" applyBorder="1" applyAlignment="1">
      <alignment horizontal="center" vertical="center"/>
    </xf>
    <xf numFmtId="0" fontId="87" fillId="10" borderId="65" xfId="0" applyFont="1" applyFill="1" applyBorder="1" applyAlignment="1">
      <alignment horizontal="center" vertical="center"/>
    </xf>
    <xf numFmtId="0" fontId="87" fillId="10" borderId="66" xfId="0" applyFont="1" applyFill="1" applyBorder="1" applyAlignment="1">
      <alignment horizontal="center" vertical="center"/>
    </xf>
    <xf numFmtId="0" fontId="87" fillId="10" borderId="67" xfId="0" applyFont="1" applyFill="1" applyBorder="1" applyAlignment="1">
      <alignment horizontal="center" vertical="center"/>
    </xf>
    <xf numFmtId="0" fontId="117" fillId="8" borderId="18" xfId="0" applyFont="1" applyFill="1" applyBorder="1" applyAlignment="1">
      <alignment horizontal="center" wrapText="1"/>
    </xf>
    <xf numFmtId="0" fontId="117" fillId="8" borderId="24" xfId="0" applyFont="1" applyFill="1" applyBorder="1" applyAlignment="1">
      <alignment horizontal="center" wrapText="1"/>
    </xf>
    <xf numFmtId="0" fontId="116" fillId="8" borderId="75" xfId="0" applyFont="1" applyFill="1" applyBorder="1" applyAlignment="1">
      <alignment horizontal="center" vertical="center" wrapText="1"/>
    </xf>
    <xf numFmtId="0" fontId="116" fillId="8" borderId="78" xfId="0" applyFont="1" applyFill="1" applyBorder="1" applyAlignment="1">
      <alignment horizontal="center" vertical="center" wrapText="1"/>
    </xf>
    <xf numFmtId="0" fontId="116" fillId="15" borderId="43" xfId="0" applyFont="1" applyFill="1" applyBorder="1" applyAlignment="1">
      <alignment horizontal="center" vertical="center"/>
    </xf>
    <xf numFmtId="0" fontId="116" fillId="15" borderId="68" xfId="0" applyFont="1" applyFill="1" applyBorder="1" applyAlignment="1">
      <alignment horizontal="center" vertical="center"/>
    </xf>
    <xf numFmtId="0" fontId="116" fillId="14" borderId="43" xfId="0" applyFont="1" applyFill="1" applyBorder="1" applyAlignment="1">
      <alignment horizontal="center" vertical="center"/>
    </xf>
    <xf numFmtId="0" fontId="116" fillId="14" borderId="79" xfId="0" applyFont="1" applyFill="1" applyBorder="1" applyAlignment="1">
      <alignment horizontal="center" vertical="center"/>
    </xf>
    <xf numFmtId="0" fontId="18" fillId="0" borderId="60" xfId="0" applyFont="1" applyBorder="1" applyAlignment="1">
      <alignment horizontal="center" vertical="center"/>
    </xf>
    <xf numFmtId="0" fontId="18" fillId="0" borderId="63" xfId="0" applyFont="1" applyBorder="1" applyAlignment="1">
      <alignment horizontal="center" vertical="center"/>
    </xf>
    <xf numFmtId="0" fontId="18" fillId="0" borderId="18" xfId="0" applyFont="1" applyBorder="1" applyAlignment="1">
      <alignment horizontal="center" vertical="center" shrinkToFit="1"/>
    </xf>
    <xf numFmtId="0" fontId="18" fillId="0" borderId="24" xfId="0" applyFont="1" applyBorder="1" applyAlignment="1">
      <alignment horizontal="center" vertical="center" shrinkToFit="1"/>
    </xf>
    <xf numFmtId="0" fontId="18" fillId="0" borderId="18" xfId="0" applyFont="1" applyBorder="1" applyAlignment="1">
      <alignment horizontal="center" vertical="center"/>
    </xf>
    <xf numFmtId="0" fontId="18" fillId="0" borderId="24" xfId="0" applyFont="1" applyBorder="1" applyAlignment="1">
      <alignment horizontal="center" vertical="center"/>
    </xf>
    <xf numFmtId="0" fontId="18" fillId="0" borderId="19" xfId="0" applyFont="1" applyBorder="1" applyAlignment="1">
      <alignment horizontal="center" vertical="center"/>
    </xf>
    <xf numFmtId="0" fontId="18" fillId="0" borderId="41" xfId="0" applyFont="1" applyBorder="1" applyAlignment="1">
      <alignment horizontal="center" vertical="center"/>
    </xf>
    <xf numFmtId="0" fontId="18" fillId="0" borderId="20" xfId="0" applyFont="1" applyBorder="1" applyAlignment="1">
      <alignment horizontal="center" vertical="center"/>
    </xf>
    <xf numFmtId="0" fontId="18" fillId="0" borderId="25" xfId="0" applyFont="1" applyBorder="1" applyAlignment="1">
      <alignment horizontal="center" vertical="center"/>
    </xf>
    <xf numFmtId="0" fontId="18" fillId="0" borderId="64" xfId="0" applyFont="1" applyBorder="1" applyAlignment="1">
      <alignment horizontal="center" vertical="center"/>
    </xf>
    <xf numFmtId="0" fontId="18" fillId="0" borderId="39" xfId="0" applyFont="1" applyBorder="1" applyAlignment="1">
      <alignment horizontal="center" vertical="center"/>
    </xf>
    <xf numFmtId="0" fontId="18" fillId="7" borderId="18" xfId="0" applyFont="1" applyFill="1" applyBorder="1" applyAlignment="1">
      <alignment horizontal="center" vertical="center"/>
    </xf>
    <xf numFmtId="0" fontId="18" fillId="7" borderId="24" xfId="0" applyFont="1" applyFill="1" applyBorder="1" applyAlignment="1">
      <alignment horizontal="center" vertical="center"/>
    </xf>
    <xf numFmtId="0" fontId="18" fillId="6" borderId="18" xfId="0" applyFont="1" applyFill="1" applyBorder="1" applyAlignment="1">
      <alignment horizontal="center" wrapText="1"/>
    </xf>
    <xf numFmtId="0" fontId="18" fillId="6" borderId="24" xfId="0" applyFont="1" applyFill="1" applyBorder="1" applyAlignment="1">
      <alignment horizontal="center" wrapText="1"/>
    </xf>
    <xf numFmtId="0" fontId="116" fillId="7" borderId="18" xfId="0" applyFont="1" applyFill="1" applyBorder="1" applyAlignment="1">
      <alignment horizontal="center" vertical="center" wrapText="1"/>
    </xf>
    <xf numFmtId="0" fontId="116" fillId="7" borderId="24" xfId="0" applyFont="1" applyFill="1" applyBorder="1" applyAlignment="1">
      <alignment horizontal="center" vertical="center" wrapText="1"/>
    </xf>
    <xf numFmtId="0" fontId="116" fillId="6" borderId="18" xfId="0" applyFont="1" applyFill="1" applyBorder="1" applyAlignment="1">
      <alignment horizontal="center" vertical="center" wrapText="1"/>
    </xf>
    <xf numFmtId="0" fontId="116" fillId="6" borderId="24" xfId="0" applyFont="1" applyFill="1" applyBorder="1" applyAlignment="1">
      <alignment horizontal="center" vertical="center" wrapText="1"/>
    </xf>
    <xf numFmtId="0" fontId="10" fillId="0" borderId="29" xfId="0" applyFont="1" applyBorder="1" applyAlignment="1">
      <alignment horizontal="center" vertical="center"/>
    </xf>
    <xf numFmtId="0" fontId="10" fillId="0" borderId="2" xfId="0" applyFont="1" applyBorder="1" applyAlignment="1">
      <alignment horizontal="center" vertical="center"/>
    </xf>
    <xf numFmtId="0" fontId="13" fillId="0" borderId="29" xfId="0" applyFont="1" applyBorder="1" applyAlignment="1">
      <alignment horizontal="center" vertical="center"/>
    </xf>
    <xf numFmtId="0" fontId="13" fillId="0" borderId="2" xfId="0" applyFont="1" applyBorder="1" applyAlignment="1">
      <alignment horizontal="center" vertical="center"/>
    </xf>
    <xf numFmtId="0" fontId="119" fillId="0" borderId="29" xfId="0" applyFont="1" applyBorder="1" applyAlignment="1">
      <alignment horizontal="center" vertical="center"/>
    </xf>
    <xf numFmtId="0" fontId="119"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2" xfId="0" applyFont="1" applyBorder="1" applyAlignment="1">
      <alignment horizontal="center" vertical="center"/>
    </xf>
    <xf numFmtId="0" fontId="9" fillId="0" borderId="29" xfId="0" applyFont="1" applyBorder="1" applyAlignment="1">
      <alignment wrapText="1" shrinkToFit="1"/>
    </xf>
    <xf numFmtId="0" fontId="9" fillId="0" borderId="2" xfId="0" applyFont="1" applyBorder="1" applyAlignment="1">
      <alignment wrapText="1" shrinkToFit="1"/>
    </xf>
    <xf numFmtId="0" fontId="9" fillId="0" borderId="42" xfId="0" applyFont="1" applyBorder="1" applyAlignment="1">
      <alignment horizontal="center" shrinkToFit="1"/>
    </xf>
    <xf numFmtId="0" fontId="9" fillId="0" borderId="73" xfId="0" applyFont="1" applyBorder="1" applyAlignment="1">
      <alignment horizontal="center" shrinkToFit="1"/>
    </xf>
    <xf numFmtId="0" fontId="9" fillId="0" borderId="42" xfId="0" applyFont="1" applyBorder="1" applyAlignment="1">
      <alignment wrapText="1" shrinkToFit="1"/>
    </xf>
    <xf numFmtId="0" fontId="9" fillId="0" borderId="73" xfId="0" applyFont="1" applyBorder="1" applyAlignment="1">
      <alignment wrapText="1" shrinkToFit="1"/>
    </xf>
    <xf numFmtId="0" fontId="9" fillId="0" borderId="69" xfId="0" applyFont="1" applyBorder="1" applyAlignment="1">
      <alignment horizontal="left" shrinkToFit="1"/>
    </xf>
    <xf numFmtId="0" fontId="9" fillId="0" borderId="70" xfId="0" applyFont="1" applyBorder="1" applyAlignment="1">
      <alignment horizontal="left" shrinkToFit="1"/>
    </xf>
    <xf numFmtId="0" fontId="9" fillId="0" borderId="69" xfId="0" applyFont="1" applyBorder="1" applyAlignment="1">
      <alignment horizontal="center" shrinkToFit="1"/>
    </xf>
    <xf numFmtId="0" fontId="9" fillId="0" borderId="70" xfId="0" applyFont="1" applyBorder="1" applyAlignment="1">
      <alignment horizontal="center" shrinkToFit="1"/>
    </xf>
    <xf numFmtId="0" fontId="18" fillId="0" borderId="52" xfId="0" applyFont="1" applyBorder="1" applyAlignment="1">
      <alignment horizontal="center" vertical="center"/>
    </xf>
    <xf numFmtId="0" fontId="18" fillId="0" borderId="81" xfId="0" applyFont="1" applyBorder="1" applyAlignment="1">
      <alignment horizontal="center" vertical="center"/>
    </xf>
    <xf numFmtId="0" fontId="18" fillId="0" borderId="66" xfId="0" applyFont="1" applyBorder="1" applyAlignment="1">
      <alignment horizontal="center" vertical="center"/>
    </xf>
    <xf numFmtId="0" fontId="132" fillId="9" borderId="65" xfId="0" applyFont="1" applyFill="1" applyBorder="1" applyAlignment="1">
      <alignment horizontal="center" vertical="center"/>
    </xf>
    <xf numFmtId="0" fontId="132" fillId="9" borderId="66" xfId="0" applyFont="1" applyFill="1" applyBorder="1" applyAlignment="1">
      <alignment horizontal="center" vertical="center"/>
    </xf>
    <xf numFmtId="0" fontId="132" fillId="9" borderId="67" xfId="0" applyFont="1" applyFill="1" applyBorder="1" applyAlignment="1">
      <alignment horizontal="center" vertical="center"/>
    </xf>
    <xf numFmtId="0" fontId="30" fillId="0" borderId="23" xfId="0" applyFont="1" applyBorder="1" applyAlignment="1">
      <alignment horizontal="center" wrapText="1"/>
    </xf>
    <xf numFmtId="0" fontId="25" fillId="0" borderId="23" xfId="0" applyFont="1" applyBorder="1" applyAlignment="1">
      <alignment horizontal="left" vertical="center"/>
    </xf>
    <xf numFmtId="167" fontId="3" fillId="0" borderId="3" xfId="0" applyNumberFormat="1" applyFont="1" applyBorder="1" applyAlignment="1">
      <alignment horizontal="right"/>
    </xf>
    <xf numFmtId="0" fontId="25" fillId="0" borderId="22" xfId="0" applyFont="1" applyBorder="1" applyAlignment="1">
      <alignment horizontal="left" vertical="top"/>
    </xf>
    <xf numFmtId="167" fontId="25" fillId="0" borderId="22" xfId="0" applyNumberFormat="1" applyFont="1" applyBorder="1" applyAlignment="1">
      <alignment horizontal="left" vertical="top"/>
    </xf>
    <xf numFmtId="0" fontId="28" fillId="0" borderId="4" xfId="0" applyFont="1" applyBorder="1" applyAlignment="1">
      <alignment horizontal="center" vertical="center"/>
    </xf>
    <xf numFmtId="0" fontId="78" fillId="0" borderId="4" xfId="0" applyFont="1" applyBorder="1" applyAlignment="1">
      <alignment horizontal="center" vertical="center"/>
    </xf>
    <xf numFmtId="0" fontId="27" fillId="0" borderId="4" xfId="0" applyFont="1" applyBorder="1" applyAlignment="1">
      <alignment horizontal="center" vertical="center"/>
    </xf>
    <xf numFmtId="0" fontId="24" fillId="0" borderId="9" xfId="0" applyFont="1" applyBorder="1" applyAlignment="1">
      <alignment horizontal="center"/>
    </xf>
    <xf numFmtId="0" fontId="25" fillId="0" borderId="18" xfId="0" applyFont="1" applyBorder="1" applyAlignment="1">
      <alignment horizontal="left" vertical="top"/>
    </xf>
    <xf numFmtId="14" fontId="27" fillId="0" borderId="4" xfId="0" applyNumberFormat="1" applyFont="1" applyBorder="1" applyAlignment="1">
      <alignment horizontal="center" vertical="center"/>
    </xf>
    <xf numFmtId="0" fontId="41" fillId="0" borderId="0" xfId="0" applyFont="1" applyAlignment="1">
      <alignment horizontal="left" wrapText="1"/>
    </xf>
    <xf numFmtId="0" fontId="46" fillId="0" borderId="0" xfId="0" applyFont="1" applyAlignment="1">
      <alignment horizontal="center" vertical="center" wrapText="1"/>
    </xf>
    <xf numFmtId="164" fontId="46" fillId="0" borderId="0" xfId="0" applyNumberFormat="1" applyFont="1" applyAlignment="1">
      <alignment horizontal="center" vertical="center" wrapText="1"/>
    </xf>
    <xf numFmtId="0" fontId="31" fillId="0" borderId="0" xfId="0" applyFont="1" applyAlignment="1">
      <alignment horizontal="left" vertical="center"/>
    </xf>
    <xf numFmtId="0" fontId="42" fillId="0" borderId="0" xfId="0" applyFont="1" applyAlignment="1">
      <alignment horizontal="center" vertical="center"/>
    </xf>
    <xf numFmtId="0" fontId="6" fillId="0" borderId="27" xfId="0" applyFont="1" applyBorder="1" applyAlignment="1">
      <alignment horizontal="right"/>
    </xf>
    <xf numFmtId="0" fontId="43" fillId="0" borderId="27" xfId="0" applyFont="1" applyBorder="1" applyAlignment="1">
      <alignment horizontal="left" wrapText="1"/>
    </xf>
    <xf numFmtId="0" fontId="44" fillId="0" borderId="28" xfId="0" applyFont="1" applyBorder="1" applyAlignment="1">
      <alignment horizontal="center" wrapText="1"/>
    </xf>
    <xf numFmtId="0" fontId="45" fillId="0" borderId="28" xfId="0" applyFont="1" applyBorder="1" applyAlignment="1">
      <alignment horizontal="center" wrapText="1"/>
    </xf>
    <xf numFmtId="0" fontId="17" fillId="0" borderId="22"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4" xfId="0" applyFont="1" applyBorder="1" applyAlignment="1">
      <alignment horizontal="center" vertical="top" wrapText="1"/>
    </xf>
    <xf numFmtId="0" fontId="17" fillId="0" borderId="1" xfId="0" applyFont="1" applyBorder="1" applyAlignment="1">
      <alignment horizontal="center" vertical="center" wrapText="1"/>
    </xf>
    <xf numFmtId="0" fontId="37" fillId="0" borderId="0" xfId="0" applyFont="1" applyAlignment="1">
      <alignment horizontal="right"/>
    </xf>
    <xf numFmtId="0" fontId="38" fillId="0" borderId="0" xfId="0" applyFont="1" applyAlignment="1">
      <alignment horizontal="left"/>
    </xf>
    <xf numFmtId="170" fontId="38" fillId="0" borderId="0" xfId="0" applyNumberFormat="1" applyFont="1" applyAlignment="1">
      <alignment horizontal="left"/>
    </xf>
    <xf numFmtId="0" fontId="6" fillId="0" borderId="0" xfId="0" applyFont="1" applyAlignment="1">
      <alignment horizontal="center"/>
    </xf>
    <xf numFmtId="0" fontId="34" fillId="0" borderId="28" xfId="0" applyFont="1" applyBorder="1" applyAlignment="1">
      <alignment horizontal="left" vertical="center"/>
    </xf>
    <xf numFmtId="0" fontId="36" fillId="0" borderId="28" xfId="0" applyFont="1" applyBorder="1" applyAlignment="1">
      <alignment horizontal="right"/>
    </xf>
    <xf numFmtId="0" fontId="33" fillId="0" borderId="28" xfId="0" applyFont="1" applyBorder="1" applyAlignment="1">
      <alignment horizontal="left"/>
    </xf>
    <xf numFmtId="0" fontId="6"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vertical="center"/>
    </xf>
    <xf numFmtId="0" fontId="9" fillId="0" borderId="27" xfId="0" applyFont="1" applyBorder="1" applyAlignment="1">
      <alignment horizontal="left"/>
    </xf>
    <xf numFmtId="0" fontId="33" fillId="0" borderId="27" xfId="0" applyFont="1" applyBorder="1" applyAlignment="1">
      <alignment horizontal="center"/>
    </xf>
    <xf numFmtId="0" fontId="9" fillId="0" borderId="27" xfId="0" applyFont="1" applyBorder="1" applyAlignment="1">
      <alignment horizontal="right"/>
    </xf>
    <xf numFmtId="0" fontId="0" fillId="0" borderId="6" xfId="0" applyBorder="1" applyAlignment="1">
      <alignment horizontal="center"/>
    </xf>
    <xf numFmtId="0" fontId="9" fillId="0" borderId="6" xfId="0" applyFont="1" applyBorder="1" applyAlignment="1">
      <alignment shrinkToFit="1"/>
    </xf>
    <xf numFmtId="0" fontId="0" fillId="0" borderId="12" xfId="0" applyBorder="1" applyAlignment="1">
      <alignment horizontal="center"/>
    </xf>
    <xf numFmtId="0" fontId="9" fillId="0" borderId="12" xfId="0" applyFont="1" applyBorder="1" applyAlignment="1">
      <alignment shrinkToFit="1"/>
    </xf>
    <xf numFmtId="0" fontId="9" fillId="0" borderId="6" xfId="0" applyFont="1" applyBorder="1" applyAlignment="1">
      <alignment horizontal="center" vertical="center" wrapText="1"/>
    </xf>
    <xf numFmtId="0" fontId="9" fillId="0" borderId="6" xfId="0" applyFont="1" applyBorder="1" applyAlignment="1">
      <alignment vertical="center" shrinkToFit="1"/>
    </xf>
    <xf numFmtId="0" fontId="9" fillId="0" borderId="5" xfId="0" applyFont="1" applyBorder="1" applyAlignment="1">
      <alignment horizontal="center" vertical="center" wrapText="1"/>
    </xf>
    <xf numFmtId="0" fontId="47" fillId="0" borderId="0" xfId="0" applyFont="1" applyAlignment="1">
      <alignment horizontal="center" textRotation="90"/>
    </xf>
    <xf numFmtId="0" fontId="9" fillId="0" borderId="31" xfId="0" applyFont="1" applyBorder="1" applyAlignment="1">
      <alignment horizontal="center" vertical="center" wrapText="1"/>
    </xf>
    <xf numFmtId="0" fontId="9" fillId="0" borderId="31" xfId="0" applyFont="1" applyBorder="1" applyAlignment="1">
      <alignment vertical="center" shrinkToFit="1"/>
    </xf>
    <xf numFmtId="0" fontId="21" fillId="0" borderId="1" xfId="0" applyFont="1" applyBorder="1" applyAlignment="1">
      <alignment horizontal="left" vertical="center" wrapText="1"/>
    </xf>
    <xf numFmtId="0" fontId="21" fillId="0" borderId="9" xfId="0" applyFont="1" applyBorder="1" applyAlignment="1">
      <alignment horizontal="left" vertical="top"/>
    </xf>
    <xf numFmtId="0" fontId="21" fillId="0" borderId="4" xfId="0" applyFont="1" applyBorder="1"/>
    <xf numFmtId="0" fontId="21" fillId="0" borderId="3" xfId="0" applyFont="1" applyBorder="1"/>
    <xf numFmtId="0" fontId="40" fillId="0" borderId="22" xfId="0" applyFont="1" applyBorder="1" applyAlignment="1">
      <alignment horizontal="left" vertical="top"/>
    </xf>
    <xf numFmtId="0" fontId="21" fillId="0" borderId="22" xfId="0" applyFont="1" applyBorder="1" applyAlignment="1">
      <alignment horizontal="left" vertical="top" wrapText="1"/>
    </xf>
    <xf numFmtId="0" fontId="52" fillId="0" borderId="4" xfId="0" applyFont="1" applyBorder="1" applyAlignment="1">
      <alignment horizontal="center" vertical="center"/>
    </xf>
    <xf numFmtId="0" fontId="18" fillId="0" borderId="21" xfId="0" applyFont="1" applyBorder="1" applyAlignment="1">
      <alignment horizontal="right" vertical="center"/>
    </xf>
    <xf numFmtId="0" fontId="27" fillId="0" borderId="0" xfId="0" applyFont="1" applyAlignment="1">
      <alignment horizontal="center"/>
    </xf>
    <xf numFmtId="0" fontId="40" fillId="0" borderId="22" xfId="0" applyFont="1" applyBorder="1" applyAlignment="1" applyProtection="1">
      <alignment horizontal="left" vertical="top"/>
      <protection locked="0"/>
    </xf>
    <xf numFmtId="0" fontId="21" fillId="0" borderId="22" xfId="0" applyFont="1" applyBorder="1" applyAlignment="1" applyProtection="1">
      <alignment horizontal="left" vertical="top"/>
      <protection locked="0"/>
    </xf>
    <xf numFmtId="0" fontId="18" fillId="0" borderId="4" xfId="0" applyFont="1" applyBorder="1" applyAlignment="1">
      <alignment horizontal="center" vertical="center" shrinkToFit="1"/>
    </xf>
    <xf numFmtId="174" fontId="18" fillId="0" borderId="4" xfId="0" applyNumberFormat="1" applyFont="1" applyBorder="1" applyAlignment="1">
      <alignment horizontal="center" vertical="center"/>
    </xf>
    <xf numFmtId="0" fontId="9" fillId="0" borderId="10" xfId="0" applyFont="1" applyBorder="1" applyAlignment="1">
      <alignment shrinkToFit="1"/>
    </xf>
    <xf numFmtId="0" fontId="9" fillId="0" borderId="34" xfId="0" applyFont="1" applyBorder="1" applyAlignment="1">
      <alignment shrinkToFit="1"/>
    </xf>
    <xf numFmtId="0" fontId="9" fillId="0" borderId="8" xfId="0" applyFont="1" applyBorder="1" applyAlignment="1">
      <alignment shrinkToFit="1"/>
    </xf>
    <xf numFmtId="0" fontId="9" fillId="0" borderId="32" xfId="0" applyFont="1" applyBorder="1" applyAlignment="1">
      <alignment shrinkToFit="1"/>
    </xf>
    <xf numFmtId="0" fontId="9" fillId="0" borderId="8" xfId="0" applyFont="1" applyBorder="1" applyAlignment="1">
      <alignment vertical="center" shrinkToFit="1"/>
    </xf>
    <xf numFmtId="0" fontId="9" fillId="0" borderId="6" xfId="0" applyFont="1" applyBorder="1" applyAlignment="1">
      <alignment horizontal="center"/>
    </xf>
    <xf numFmtId="0" fontId="9" fillId="0" borderId="8" xfId="0" applyFont="1" applyBorder="1"/>
    <xf numFmtId="0" fontId="9" fillId="0" borderId="5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6" xfId="0" applyFont="1" applyBorder="1" applyAlignment="1">
      <alignment vertical="center" shrinkToFit="1"/>
    </xf>
    <xf numFmtId="0" fontId="47" fillId="0" borderId="17" xfId="0" applyFont="1" applyBorder="1" applyAlignment="1">
      <alignment horizontal="center" textRotation="90"/>
    </xf>
    <xf numFmtId="0" fontId="21" fillId="0" borderId="22" xfId="0" applyFont="1" applyBorder="1" applyAlignment="1">
      <alignment horizontal="left" vertical="top"/>
    </xf>
    <xf numFmtId="0" fontId="18" fillId="2" borderId="4" xfId="0" applyFont="1" applyFill="1" applyBorder="1" applyAlignment="1">
      <alignment horizontal="center" vertical="center" shrinkToFit="1"/>
    </xf>
    <xf numFmtId="174" fontId="18" fillId="0" borderId="21" xfId="0" applyNumberFormat="1" applyFont="1" applyBorder="1" applyAlignment="1">
      <alignment horizontal="center" vertical="center"/>
    </xf>
    <xf numFmtId="174" fontId="18" fillId="0" borderId="13" xfId="0" applyNumberFormat="1" applyFont="1" applyBorder="1" applyAlignment="1">
      <alignment horizontal="center" vertical="center"/>
    </xf>
    <xf numFmtId="174" fontId="18" fillId="0" borderId="3" xfId="0" applyNumberFormat="1" applyFont="1" applyBorder="1" applyAlignment="1">
      <alignment horizontal="center" vertical="center"/>
    </xf>
    <xf numFmtId="0" fontId="52" fillId="0" borderId="9" xfId="0" applyFont="1" applyBorder="1" applyAlignment="1">
      <alignment horizontal="center" vertical="center"/>
    </xf>
    <xf numFmtId="0" fontId="18" fillId="2" borderId="9" xfId="0" applyFont="1" applyFill="1" applyBorder="1" applyAlignment="1">
      <alignment horizontal="center" vertical="center"/>
    </xf>
    <xf numFmtId="0" fontId="129" fillId="0" borderId="22" xfId="0" applyFont="1" applyBorder="1" applyAlignment="1">
      <alignment horizontal="center" textRotation="90" wrapText="1"/>
    </xf>
    <xf numFmtId="0" fontId="129" fillId="0" borderId="9" xfId="0" applyFont="1" applyBorder="1" applyAlignment="1">
      <alignment horizontal="center" textRotation="90" wrapText="1"/>
    </xf>
    <xf numFmtId="0" fontId="129" fillId="0" borderId="4" xfId="0" applyFont="1" applyBorder="1" applyAlignment="1">
      <alignment horizontal="center" textRotation="90" wrapText="1"/>
    </xf>
    <xf numFmtId="0" fontId="21" fillId="0" borderId="14" xfId="0" applyFont="1" applyBorder="1" applyAlignment="1">
      <alignment horizontal="left" vertical="top" wrapText="1"/>
    </xf>
    <xf numFmtId="0" fontId="130" fillId="0" borderId="11" xfId="0" applyFont="1" applyBorder="1" applyAlignment="1">
      <alignment horizontal="center" wrapText="1"/>
    </xf>
    <xf numFmtId="0" fontId="130" fillId="0" borderId="21" xfId="0" applyFont="1" applyBorder="1" applyAlignment="1">
      <alignment horizontal="center" wrapText="1"/>
    </xf>
    <xf numFmtId="0" fontId="9" fillId="0" borderId="12" xfId="0" applyFont="1" applyBorder="1" applyAlignment="1">
      <alignment horizontal="center" vertical="center" wrapText="1"/>
    </xf>
    <xf numFmtId="0" fontId="9" fillId="0" borderId="12" xfId="0" applyFont="1" applyBorder="1" applyAlignment="1">
      <alignment vertical="center" shrinkToFit="1"/>
    </xf>
    <xf numFmtId="0" fontId="46" fillId="0" borderId="22" xfId="0" applyFont="1" applyBorder="1" applyAlignment="1">
      <alignment horizontal="left" vertical="top"/>
    </xf>
    <xf numFmtId="0" fontId="46" fillId="0" borderId="22" xfId="0" applyFont="1" applyBorder="1" applyAlignment="1">
      <alignment horizontal="center" vertical="top"/>
    </xf>
    <xf numFmtId="0" fontId="40" fillId="0" borderId="1" xfId="0" applyFont="1" applyBorder="1" applyAlignment="1">
      <alignment horizontal="left" vertical="top"/>
    </xf>
    <xf numFmtId="0" fontId="52" fillId="0" borderId="4" xfId="0" applyFont="1" applyBorder="1" applyAlignment="1">
      <alignment horizontal="center"/>
    </xf>
    <xf numFmtId="0" fontId="46" fillId="0" borderId="9" xfId="0" applyFont="1" applyBorder="1" applyAlignment="1">
      <alignment horizontal="center" textRotation="90"/>
    </xf>
    <xf numFmtId="0" fontId="40" fillId="0" borderId="21" xfId="0" applyFont="1" applyBorder="1" applyAlignment="1">
      <alignment horizontal="center" textRotation="90"/>
    </xf>
    <xf numFmtId="0" fontId="21" fillId="0" borderId="12" xfId="0" applyFont="1" applyBorder="1" applyAlignment="1" applyProtection="1">
      <alignment horizontal="center"/>
      <protection locked="0"/>
    </xf>
    <xf numFmtId="0" fontId="0" fillId="0" borderId="6" xfId="0" applyBorder="1" applyAlignment="1">
      <alignment horizontal="left"/>
    </xf>
    <xf numFmtId="0" fontId="51" fillId="0" borderId="4" xfId="0" applyFont="1" applyBorder="1" applyAlignment="1" applyProtection="1">
      <alignment horizontal="center" vertical="center"/>
      <protection locked="0"/>
    </xf>
    <xf numFmtId="0" fontId="51" fillId="0" borderId="4" xfId="0" applyFont="1" applyBorder="1" applyAlignment="1">
      <alignment horizontal="center" vertical="center"/>
    </xf>
    <xf numFmtId="0" fontId="0" fillId="0" borderId="31" xfId="0" applyBorder="1" applyAlignment="1">
      <alignment horizontal="center"/>
    </xf>
    <xf numFmtId="0" fontId="65" fillId="0" borderId="6" xfId="0" applyFont="1" applyBorder="1" applyAlignment="1">
      <alignment horizontal="center"/>
    </xf>
    <xf numFmtId="0" fontId="18" fillId="0" borderId="3" xfId="0" applyFont="1" applyBorder="1" applyAlignment="1">
      <alignment horizontal="left" vertical="center"/>
    </xf>
    <xf numFmtId="2" fontId="18" fillId="0" borderId="4" xfId="0" applyNumberFormat="1" applyFont="1" applyBorder="1" applyAlignment="1">
      <alignment horizontal="center" vertical="center"/>
    </xf>
    <xf numFmtId="14" fontId="18" fillId="0" borderId="4" xfId="0" applyNumberFormat="1"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11" fillId="0" borderId="7" xfId="0" applyFont="1" applyBorder="1" applyAlignment="1">
      <alignment horizontal="center" vertical="center"/>
    </xf>
    <xf numFmtId="0" fontId="111" fillId="0" borderId="8"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8" fillId="0" borderId="4"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9" fillId="0" borderId="10" xfId="0" applyFont="1" applyBorder="1" applyAlignment="1">
      <alignment vertical="center" shrinkToFit="1"/>
    </xf>
    <xf numFmtId="0" fontId="18" fillId="4" borderId="9" xfId="0" applyFont="1" applyFill="1" applyBorder="1" applyAlignment="1">
      <alignment horizontal="center" vertical="center"/>
    </xf>
    <xf numFmtId="14" fontId="18" fillId="4" borderId="4" xfId="0" applyNumberFormat="1" applyFont="1" applyFill="1" applyBorder="1" applyAlignment="1">
      <alignment horizontal="center" vertical="center"/>
    </xf>
    <xf numFmtId="0" fontId="18" fillId="4" borderId="4" xfId="0" applyFont="1" applyFill="1" applyBorder="1" applyAlignment="1">
      <alignment horizontal="center" vertical="center"/>
    </xf>
    <xf numFmtId="174" fontId="18" fillId="4" borderId="4" xfId="0" applyNumberFormat="1" applyFont="1" applyFill="1" applyBorder="1" applyAlignment="1">
      <alignment horizontal="center" vertical="center"/>
    </xf>
    <xf numFmtId="0" fontId="73" fillId="0" borderId="0" xfId="0" applyFont="1" applyAlignment="1">
      <alignment horizontal="center"/>
    </xf>
    <xf numFmtId="0" fontId="91" fillId="0" borderId="0" xfId="0" applyFont="1" applyAlignment="1" applyProtection="1">
      <alignment horizontal="center"/>
      <protection locked="0"/>
    </xf>
    <xf numFmtId="164" fontId="101" fillId="0" borderId="0" xfId="0" applyNumberFormat="1" applyFont="1" applyAlignment="1">
      <alignment horizontal="center"/>
    </xf>
    <xf numFmtId="0" fontId="3" fillId="0" borderId="17" xfId="6" applyBorder="1" applyAlignment="1">
      <alignment horizontal="center" textRotation="90"/>
    </xf>
    <xf numFmtId="0" fontId="3" fillId="0" borderId="0" xfId="6" applyAlignment="1">
      <alignment horizontal="left" textRotation="90" shrinkToFit="1"/>
    </xf>
    <xf numFmtId="0" fontId="3" fillId="0" borderId="0" xfId="6" applyAlignment="1">
      <alignment horizontal="left" textRotation="90"/>
    </xf>
    <xf numFmtId="0" fontId="88" fillId="0" borderId="43" xfId="0" applyFont="1" applyBorder="1" applyAlignment="1">
      <alignment horizontal="center"/>
    </xf>
    <xf numFmtId="0" fontId="18" fillId="0" borderId="32" xfId="0" applyFont="1" applyBorder="1" applyAlignment="1">
      <alignment horizontal="center" vertical="center"/>
    </xf>
    <xf numFmtId="0" fontId="18" fillId="0" borderId="10" xfId="0" applyFont="1" applyBorder="1" applyAlignment="1">
      <alignment horizontal="center" vertical="center"/>
    </xf>
    <xf numFmtId="0" fontId="113" fillId="0" borderId="0" xfId="0" applyFont="1" applyAlignment="1">
      <alignment horizontal="center"/>
    </xf>
    <xf numFmtId="0" fontId="72" fillId="0" borderId="4" xfId="0" applyFont="1" applyBorder="1" applyAlignment="1" applyProtection="1">
      <alignment horizontal="left" vertical="top" wrapText="1"/>
      <protection locked="0"/>
    </xf>
    <xf numFmtId="0" fontId="122" fillId="0" borderId="1" xfId="0" applyFont="1" applyBorder="1" applyAlignment="1" applyProtection="1">
      <alignment horizontal="center" vertical="center"/>
      <protection locked="0"/>
    </xf>
    <xf numFmtId="0" fontId="69" fillId="0" borderId="1" xfId="0" applyFont="1" applyBorder="1" applyAlignment="1" applyProtection="1">
      <alignment horizontal="center" vertical="center" wrapText="1"/>
      <protection locked="0"/>
    </xf>
    <xf numFmtId="0" fontId="69" fillId="0" borderId="1" xfId="0" applyFont="1" applyBorder="1" applyAlignment="1" applyProtection="1">
      <alignment horizontal="center" vertical="center"/>
      <protection locked="0"/>
    </xf>
    <xf numFmtId="0" fontId="122" fillId="0" borderId="1" xfId="0" applyFont="1" applyBorder="1" applyAlignment="1" applyProtection="1">
      <alignment horizontal="center"/>
      <protection locked="0"/>
    </xf>
    <xf numFmtId="14" fontId="122" fillId="0" borderId="1" xfId="0" applyNumberFormat="1" applyFont="1" applyBorder="1" applyAlignment="1" applyProtection="1">
      <alignment horizontal="center" vertical="center"/>
      <protection locked="0"/>
    </xf>
    <xf numFmtId="0" fontId="69" fillId="0" borderId="1" xfId="0" applyFont="1" applyBorder="1" applyAlignment="1" applyProtection="1">
      <alignment horizontal="left" vertical="top"/>
      <protection locked="0"/>
    </xf>
    <xf numFmtId="0" fontId="67" fillId="0" borderId="22" xfId="0" applyFont="1" applyBorder="1" applyAlignment="1" applyProtection="1">
      <alignment horizontal="center" vertical="center"/>
      <protection locked="0"/>
    </xf>
    <xf numFmtId="0" fontId="68" fillId="0" borderId="4" xfId="0" applyFont="1" applyBorder="1" applyAlignment="1" applyProtection="1">
      <alignment horizontal="center"/>
      <protection locked="0"/>
    </xf>
    <xf numFmtId="0" fontId="69" fillId="0" borderId="1" xfId="0" applyFont="1" applyBorder="1" applyAlignment="1" applyProtection="1">
      <alignment horizontal="left" vertical="center"/>
      <protection locked="0"/>
    </xf>
    <xf numFmtId="0" fontId="9" fillId="0" borderId="31" xfId="0" applyFont="1" applyBorder="1" applyAlignment="1">
      <alignment horizontal="center" vertical="center"/>
    </xf>
    <xf numFmtId="0" fontId="9" fillId="0" borderId="6" xfId="0" applyFont="1" applyBorder="1" applyAlignment="1">
      <alignment horizontal="center" vertical="center"/>
    </xf>
    <xf numFmtId="0" fontId="46" fillId="0" borderId="14" xfId="0" applyFont="1" applyBorder="1" applyAlignment="1">
      <alignment horizontal="center" textRotation="90"/>
    </xf>
    <xf numFmtId="0" fontId="46" fillId="0" borderId="16" xfId="0" applyFont="1" applyBorder="1" applyAlignment="1">
      <alignment horizontal="center" textRotation="90"/>
    </xf>
    <xf numFmtId="14" fontId="134" fillId="0" borderId="0" xfId="0" applyNumberFormat="1" applyFont="1" applyAlignment="1">
      <alignment horizontal="center"/>
    </xf>
    <xf numFmtId="2" fontId="84" fillId="0" borderId="1" xfId="0" applyNumberFormat="1" applyFont="1" applyBorder="1" applyAlignment="1">
      <alignment horizontal="left" vertical="center" indent="3"/>
    </xf>
    <xf numFmtId="0" fontId="29" fillId="0" borderId="29" xfId="0" applyFont="1" applyBorder="1" applyAlignment="1">
      <alignment horizontal="center" vertical="center"/>
    </xf>
    <xf numFmtId="0" fontId="29" fillId="0" borderId="2" xfId="0" applyFont="1" applyBorder="1" applyAlignment="1">
      <alignment horizontal="center" vertical="center"/>
    </xf>
    <xf numFmtId="2" fontId="84" fillId="0" borderId="29" xfId="0" applyNumberFormat="1" applyFont="1" applyBorder="1" applyAlignment="1">
      <alignment horizontal="center" vertical="center"/>
    </xf>
    <xf numFmtId="2" fontId="84" fillId="0" borderId="38" xfId="0" applyNumberFormat="1" applyFont="1" applyBorder="1" applyAlignment="1">
      <alignment horizontal="center" vertical="center"/>
    </xf>
    <xf numFmtId="2" fontId="84" fillId="0" borderId="2" xfId="0" applyNumberFormat="1" applyFont="1" applyBorder="1" applyAlignment="1">
      <alignment horizontal="center" vertical="center"/>
    </xf>
    <xf numFmtId="0" fontId="83" fillId="0" borderId="72" xfId="0" applyFont="1" applyBorder="1" applyAlignment="1">
      <alignment horizontal="center" vertical="center"/>
    </xf>
    <xf numFmtId="0" fontId="135" fillId="0" borderId="72" xfId="0" applyFont="1" applyBorder="1" applyAlignment="1">
      <alignment horizontal="left" vertical="center" indent="1"/>
    </xf>
    <xf numFmtId="14" fontId="135" fillId="0" borderId="29" xfId="0" applyNumberFormat="1" applyFont="1" applyBorder="1" applyAlignment="1">
      <alignment horizontal="left" vertical="center" indent="1"/>
    </xf>
    <xf numFmtId="14" fontId="135" fillId="0" borderId="2" xfId="0" applyNumberFormat="1" applyFont="1" applyBorder="1" applyAlignment="1">
      <alignment horizontal="left" vertical="center" indent="1"/>
    </xf>
    <xf numFmtId="0" fontId="137" fillId="0" borderId="29" xfId="0" applyFont="1" applyBorder="1" applyAlignment="1">
      <alignment horizontal="right" vertical="center" indent="1"/>
    </xf>
    <xf numFmtId="0" fontId="137" fillId="0" borderId="38" xfId="0" applyFont="1" applyBorder="1" applyAlignment="1">
      <alignment horizontal="right" vertical="center" indent="1"/>
    </xf>
    <xf numFmtId="0" fontId="137" fillId="0" borderId="2" xfId="0" applyFont="1" applyBorder="1" applyAlignment="1">
      <alignment horizontal="right" vertical="center" indent="1"/>
    </xf>
    <xf numFmtId="0" fontId="84" fillId="0" borderId="29" xfId="0" applyFont="1" applyBorder="1"/>
    <xf numFmtId="0" fontId="84" fillId="0" borderId="2" xfId="0" applyFont="1" applyBorder="1"/>
    <xf numFmtId="0" fontId="136" fillId="0" borderId="72" xfId="0" applyFont="1" applyBorder="1" applyAlignment="1">
      <alignment horizontal="center" vertical="center" wrapText="1"/>
    </xf>
    <xf numFmtId="0" fontId="136" fillId="0" borderId="1" xfId="0" applyFont="1" applyBorder="1" applyAlignment="1">
      <alignment horizontal="center" vertical="center" wrapText="1"/>
    </xf>
    <xf numFmtId="0" fontId="136" fillId="0" borderId="1" xfId="0" applyFont="1" applyBorder="1" applyAlignment="1">
      <alignment horizontal="center" vertical="center"/>
    </xf>
    <xf numFmtId="0" fontId="136" fillId="0" borderId="29" xfId="0" applyFont="1" applyBorder="1" applyAlignment="1">
      <alignment horizontal="center" vertical="center"/>
    </xf>
    <xf numFmtId="0" fontId="136" fillId="0" borderId="2" xfId="0" applyFont="1" applyBorder="1" applyAlignment="1">
      <alignment horizontal="center" vertical="center"/>
    </xf>
    <xf numFmtId="0" fontId="134" fillId="0" borderId="15" xfId="0" applyFont="1" applyBorder="1" applyAlignment="1">
      <alignment horizontal="center" vertical="center"/>
    </xf>
    <xf numFmtId="173"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protection locked="0"/>
    </xf>
    <xf numFmtId="173" fontId="0" fillId="0" borderId="23" xfId="0" applyNumberFormat="1" applyBorder="1" applyAlignment="1" applyProtection="1">
      <alignment horizontal="center"/>
      <protection locked="0"/>
    </xf>
    <xf numFmtId="49" fontId="0" fillId="0" borderId="23" xfId="0" applyNumberFormat="1" applyBorder="1" applyAlignment="1" applyProtection="1">
      <alignment horizontal="center"/>
      <protection locked="0"/>
    </xf>
    <xf numFmtId="173" fontId="3" fillId="0" borderId="1" xfId="0" applyNumberFormat="1" applyFont="1" applyBorder="1" applyAlignment="1" applyProtection="1">
      <alignment horizontal="center"/>
      <protection locked="0"/>
    </xf>
    <xf numFmtId="0" fontId="87" fillId="0" borderId="72" xfId="0" applyFont="1" applyBorder="1" applyAlignment="1">
      <alignment horizontal="center" vertical="center" wrapText="1"/>
    </xf>
    <xf numFmtId="0" fontId="87" fillId="0" borderId="40" xfId="0" applyFont="1" applyBorder="1" applyAlignment="1">
      <alignment horizontal="center" vertical="center" wrapText="1"/>
    </xf>
    <xf numFmtId="0" fontId="27" fillId="0" borderId="72" xfId="0" applyFont="1" applyBorder="1" applyAlignment="1">
      <alignment horizontal="center" vertical="center" wrapText="1"/>
    </xf>
    <xf numFmtId="0" fontId="27" fillId="0" borderId="40" xfId="0" applyFont="1" applyBorder="1" applyAlignment="1">
      <alignment horizontal="center" vertical="center" wrapText="1"/>
    </xf>
    <xf numFmtId="167" fontId="27" fillId="0" borderId="1" xfId="0" applyNumberFormat="1" applyFont="1" applyBorder="1" applyAlignment="1">
      <alignment horizontal="center" vertical="center"/>
    </xf>
    <xf numFmtId="0" fontId="75" fillId="0" borderId="4" xfId="0" applyFont="1" applyBorder="1" applyAlignment="1">
      <alignment horizontal="center" vertical="center"/>
    </xf>
    <xf numFmtId="166" fontId="76" fillId="0" borderId="4" xfId="0" applyNumberFormat="1" applyFont="1" applyBorder="1" applyAlignment="1">
      <alignment horizontal="center" vertical="center"/>
    </xf>
    <xf numFmtId="166" fontId="76" fillId="0" borderId="17" xfId="0" applyNumberFormat="1" applyFont="1" applyBorder="1" applyAlignment="1">
      <alignment horizontal="center" vertical="center"/>
    </xf>
    <xf numFmtId="0" fontId="6" fillId="0" borderId="29" xfId="0" applyFont="1" applyBorder="1" applyAlignment="1">
      <alignment vertical="center"/>
    </xf>
    <xf numFmtId="0" fontId="6" fillId="0" borderId="2" xfId="0" applyFont="1" applyBorder="1" applyAlignment="1">
      <alignment vertical="center"/>
    </xf>
    <xf numFmtId="0" fontId="6" fillId="0" borderId="42" xfId="0" applyFont="1" applyBorder="1" applyAlignment="1">
      <alignment vertical="center" shrinkToFit="1"/>
    </xf>
    <xf numFmtId="0" fontId="6" fillId="0" borderId="73" xfId="0" applyFont="1" applyBorder="1" applyAlignment="1">
      <alignment vertical="center" shrinkToFit="1"/>
    </xf>
    <xf numFmtId="0" fontId="0" fillId="0" borderId="29" xfId="0" applyBorder="1"/>
    <xf numFmtId="0" fontId="0" fillId="0" borderId="2" xfId="0" applyBorder="1"/>
    <xf numFmtId="0" fontId="75" fillId="0" borderId="24" xfId="0" applyFont="1" applyBorder="1" applyAlignment="1">
      <alignment horizontal="center" vertical="center"/>
    </xf>
    <xf numFmtId="166" fontId="76" fillId="0" borderId="39" xfId="0" applyNumberFormat="1" applyFont="1" applyBorder="1" applyAlignment="1">
      <alignment horizontal="center" vertical="center"/>
    </xf>
    <xf numFmtId="0" fontId="0" fillId="0" borderId="29" xfId="0" applyBorder="1" applyAlignment="1">
      <alignment shrinkToFit="1"/>
    </xf>
    <xf numFmtId="0" fontId="0" fillId="0" borderId="2" xfId="0" applyBorder="1" applyAlignment="1">
      <alignment shrinkToFit="1"/>
    </xf>
    <xf numFmtId="0" fontId="111" fillId="0" borderId="0" xfId="0" applyFont="1" applyAlignment="1">
      <alignment horizontal="center" vertical="top"/>
    </xf>
    <xf numFmtId="0" fontId="0" fillId="0" borderId="0" xfId="0" applyAlignment="1">
      <alignment horizontal="center" vertical="top"/>
    </xf>
    <xf numFmtId="0" fontId="141" fillId="0" borderId="41" xfId="0" applyFont="1" applyBorder="1" applyAlignment="1">
      <alignment horizontal="left"/>
    </xf>
    <xf numFmtId="0" fontId="67" fillId="0" borderId="43" xfId="0" applyFont="1" applyBorder="1" applyAlignment="1">
      <alignment horizontal="center" vertical="center"/>
    </xf>
    <xf numFmtId="0" fontId="139" fillId="0" borderId="47" xfId="0" applyFont="1" applyBorder="1" applyAlignment="1">
      <alignment horizontal="center" vertical="center"/>
    </xf>
    <xf numFmtId="0" fontId="140" fillId="0" borderId="48" xfId="0" applyFont="1" applyBorder="1" applyAlignment="1" applyProtection="1">
      <alignment horizontal="center" vertical="center"/>
      <protection locked="0"/>
    </xf>
    <xf numFmtId="0" fontId="139" fillId="0" borderId="49" xfId="0" applyFont="1" applyBorder="1" applyAlignment="1">
      <alignment horizontal="center" vertical="center"/>
    </xf>
    <xf numFmtId="0" fontId="104" fillId="0" borderId="50"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0" fontId="138" fillId="0" borderId="51" xfId="0" applyFont="1" applyBorder="1" applyAlignment="1">
      <alignment horizontal="center" vertical="center" wrapText="1"/>
    </xf>
    <xf numFmtId="0" fontId="138" fillId="0" borderId="52" xfId="0" applyFont="1" applyBorder="1" applyAlignment="1">
      <alignment horizontal="center" vertical="center" wrapText="1"/>
    </xf>
    <xf numFmtId="0" fontId="138" fillId="0" borderId="53" xfId="0" applyFont="1" applyBorder="1" applyAlignment="1">
      <alignment horizontal="center" vertical="center" wrapText="1"/>
    </xf>
  </cellXfs>
  <cellStyles count="14">
    <cellStyle name="Hyperlink" xfId="1" builtinId="8"/>
    <cellStyle name="Iau?iue_STORE 2" xfId="2" xr:uid="{00000000-0005-0000-0000-000000000000}"/>
    <cellStyle name="Normal" xfId="0" builtinId="0"/>
    <cellStyle name="Normal 2" xfId="3" xr:uid="{00000000-0005-0000-0000-000001000000}"/>
    <cellStyle name="Normal 3" xfId="4" xr:uid="{00000000-0005-0000-0000-000002000000}"/>
    <cellStyle name="Normal 4" xfId="5" xr:uid="{00000000-0005-0000-0000-000003000000}"/>
    <cellStyle name="Normal 5" xfId="13" xr:uid="{74E623C8-3E84-4641-A48E-976227FFCAD3}"/>
    <cellStyle name="Normal_Book1" xfId="6" xr:uid="{00000000-0005-0000-0000-000004000000}"/>
    <cellStyle name="Normal_presecpir" xfId="7" xr:uid="{00000000-0005-0000-0000-000005000000}"/>
    <cellStyle name="Standard_imo ship's store" xfId="8" xr:uid="{00000000-0005-0000-0000-000006000000}"/>
    <cellStyle name="Гиперссылка 2" xfId="9" xr:uid="{00000000-0005-0000-0000-000008000000}"/>
    <cellStyle name="Обычный 2" xfId="10" xr:uid="{00000000-0005-0000-0000-00000A000000}"/>
    <cellStyle name="Обычный 3" xfId="11" xr:uid="{00000000-0005-0000-0000-00000B000000}"/>
    <cellStyle name="Обычный 6" xfId="12" xr:uid="{00000000-0005-0000-0000-00000C000000}"/>
  </cellStyles>
  <dxfs count="0"/>
  <tableStyles count="0" defaultTableStyle="TableStyleMedium2" defaultPivotStyle="PivotStyleLight16"/>
  <colors>
    <indexedColors>
      <rgbColor rgb="FF000000"/>
      <rgbColor rgb="FFFFFFFF"/>
      <rgbColor rgb="FFFF0000"/>
      <rgbColor rgb="FF13ED2D"/>
      <rgbColor rgb="FF0000FF"/>
      <rgbColor rgb="FFFFFF00"/>
      <rgbColor rgb="FFFF00FF"/>
      <rgbColor rgb="FF00FFFF"/>
      <rgbColor rgb="FFC00000"/>
      <rgbColor rgb="FF008000"/>
      <rgbColor rgb="FF000080"/>
      <rgbColor rgb="FF948A54"/>
      <rgbColor rgb="FF800080"/>
      <rgbColor rgb="FF008080"/>
      <rgbColor rgb="FFC0C0C0"/>
      <rgbColor rgb="FF808080"/>
      <rgbColor rgb="FF9999FF"/>
      <rgbColor rgb="FF993366"/>
      <rgbColor rgb="FFFFFFCC"/>
      <rgbColor rgb="FFCCFFFF"/>
      <rgbColor rgb="FF660066"/>
      <rgbColor rgb="FFFF8080"/>
      <rgbColor rgb="FF0070C0"/>
      <rgbColor rgb="FFB7DEE8"/>
      <rgbColor rgb="FF000080"/>
      <rgbColor rgb="FFFF00FF"/>
      <rgbColor rgb="FFFFFF00"/>
      <rgbColor rgb="FF00FFFF"/>
      <rgbColor rgb="FF800080"/>
      <rgbColor rgb="FF800000"/>
      <rgbColor rgb="FF008080"/>
      <rgbColor rgb="FF0000FF"/>
      <rgbColor rgb="FF00CCFF"/>
      <rgbColor rgb="FFCCFFFF"/>
      <rgbColor rgb="FFF3F0E2"/>
      <rgbColor rgb="FFFFFF99"/>
      <rgbColor rgb="FF99CCFF"/>
      <rgbColor rgb="FFFF99CC"/>
      <rgbColor rgb="FFCC99FF"/>
      <rgbColor rgb="FFFFCC99"/>
      <rgbColor rgb="FF3366FF"/>
      <rgbColor rgb="FF33CCCC"/>
      <rgbColor rgb="FF99FF33"/>
      <rgbColor rgb="FFFFCC00"/>
      <rgbColor rgb="FFFF9900"/>
      <rgbColor rgb="FFFF6600"/>
      <rgbColor rgb="FF604A7B"/>
      <rgbColor rgb="FFA6A6A6"/>
      <rgbColor rgb="FF003366"/>
      <rgbColor rgb="FF31859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tif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186579</xdr:rowOff>
    </xdr:from>
    <xdr:to>
      <xdr:col>3</xdr:col>
      <xdr:colOff>411035</xdr:colOff>
      <xdr:row>39</xdr:row>
      <xdr:rowOff>29139</xdr:rowOff>
    </xdr:to>
    <xdr:pic>
      <xdr:nvPicPr>
        <xdr:cNvPr id="11" name="Picture 10">
          <a:extLst>
            <a:ext uri="{FF2B5EF4-FFF2-40B4-BE49-F238E27FC236}">
              <a16:creationId xmlns:a16="http://schemas.microsoft.com/office/drawing/2014/main" id="{5E453FCD-DE4E-7B69-F59B-E6E8FFB61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206379"/>
          <a:ext cx="1506410" cy="1366560"/>
        </a:xfrm>
        <a:prstGeom prst="rect">
          <a:avLst/>
        </a:prstGeom>
      </xdr:spPr>
    </xdr:pic>
    <xdr:clientData/>
  </xdr:twoCellAnchor>
  <xdr:twoCellAnchor editAs="oneCell">
    <xdr:from>
      <xdr:col>1</xdr:col>
      <xdr:colOff>108135</xdr:colOff>
      <xdr:row>38</xdr:row>
      <xdr:rowOff>140075</xdr:rowOff>
    </xdr:from>
    <xdr:to>
      <xdr:col>6</xdr:col>
      <xdr:colOff>328896</xdr:colOff>
      <xdr:row>45</xdr:row>
      <xdr:rowOff>173134</xdr:rowOff>
    </xdr:to>
    <xdr:pic>
      <xdr:nvPicPr>
        <xdr:cNvPr id="14" name="Picture 13">
          <a:extLst>
            <a:ext uri="{FF2B5EF4-FFF2-40B4-BE49-F238E27FC236}">
              <a16:creationId xmlns:a16="http://schemas.microsoft.com/office/drawing/2014/main" id="{E3EBBF0A-528D-09AD-371D-A3A3DBBB19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760" y="7493375"/>
          <a:ext cx="2516286" cy="1366559"/>
        </a:xfrm>
        <a:prstGeom prst="rect">
          <a:avLst/>
        </a:prstGeom>
      </xdr:spPr>
    </xdr:pic>
    <xdr:clientData/>
  </xdr:twoCellAnchor>
  <xdr:twoCellAnchor editAs="oneCell">
    <xdr:from>
      <xdr:col>3</xdr:col>
      <xdr:colOff>542925</xdr:colOff>
      <xdr:row>22</xdr:row>
      <xdr:rowOff>104775</xdr:rowOff>
    </xdr:from>
    <xdr:to>
      <xdr:col>9</xdr:col>
      <xdr:colOff>75301</xdr:colOff>
      <xdr:row>29</xdr:row>
      <xdr:rowOff>142297</xdr:rowOff>
    </xdr:to>
    <xdr:pic>
      <xdr:nvPicPr>
        <xdr:cNvPr id="5" name="Picture 4">
          <a:extLst>
            <a:ext uri="{FF2B5EF4-FFF2-40B4-BE49-F238E27FC236}">
              <a16:creationId xmlns:a16="http://schemas.microsoft.com/office/drawing/2014/main" id="{762039C4-AF8A-2A59-0E09-F0367DE70C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38300" y="4410075"/>
          <a:ext cx="2132701" cy="13710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76320</xdr:colOff>
      <xdr:row>0</xdr:row>
      <xdr:rowOff>23040</xdr:rowOff>
    </xdr:from>
    <xdr:to>
      <xdr:col>2</xdr:col>
      <xdr:colOff>565560</xdr:colOff>
      <xdr:row>3</xdr:row>
      <xdr:rowOff>19800</xdr:rowOff>
    </xdr:to>
    <xdr:pic>
      <xdr:nvPicPr>
        <xdr:cNvPr id="2" name="Grafik 1" descr="X:\Marketing\Firmenlogos\Rambow\Rambow2b.tif">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31040" y="23040"/>
          <a:ext cx="756000" cy="577800"/>
        </a:xfrm>
        <a:prstGeom prst="rect">
          <a:avLst/>
        </a:prstGeom>
        <a:ln w="0">
          <a:noFill/>
        </a:ln>
      </xdr:spPr>
    </xdr:pic>
    <xdr:clientData/>
  </xdr:twoCellAnchor>
  <xdr:twoCellAnchor editAs="oneCell">
    <xdr:from>
      <xdr:col>16</xdr:col>
      <xdr:colOff>28575</xdr:colOff>
      <xdr:row>20</xdr:row>
      <xdr:rowOff>285750</xdr:rowOff>
    </xdr:from>
    <xdr:to>
      <xdr:col>19</xdr:col>
      <xdr:colOff>141976</xdr:colOff>
      <xdr:row>26</xdr:row>
      <xdr:rowOff>266122</xdr:rowOff>
    </xdr:to>
    <xdr:pic>
      <xdr:nvPicPr>
        <xdr:cNvPr id="4" name="Picture 3">
          <a:extLst>
            <a:ext uri="{FF2B5EF4-FFF2-40B4-BE49-F238E27FC236}">
              <a16:creationId xmlns:a16="http://schemas.microsoft.com/office/drawing/2014/main" id="{FE942B1A-D521-4B90-98DC-0E517CA5C2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44075" y="5600700"/>
          <a:ext cx="2132701" cy="13710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0</xdr:colOff>
      <xdr:row>33</xdr:row>
      <xdr:rowOff>38100</xdr:rowOff>
    </xdr:from>
    <xdr:to>
      <xdr:col>37</xdr:col>
      <xdr:colOff>106235</xdr:colOff>
      <xdr:row>41</xdr:row>
      <xdr:rowOff>42585</xdr:rowOff>
    </xdr:to>
    <xdr:pic>
      <xdr:nvPicPr>
        <xdr:cNvPr id="2" name="Picture 1">
          <a:extLst>
            <a:ext uri="{FF2B5EF4-FFF2-40B4-BE49-F238E27FC236}">
              <a16:creationId xmlns:a16="http://schemas.microsoft.com/office/drawing/2014/main" id="{349F5B9D-429B-42C6-BDC6-7DB0D6BC8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9450" y="7905750"/>
          <a:ext cx="1506410" cy="13665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152400</xdr:colOff>
      <xdr:row>31</xdr:row>
      <xdr:rowOff>190500</xdr:rowOff>
    </xdr:from>
    <xdr:to>
      <xdr:col>39</xdr:col>
      <xdr:colOff>58610</xdr:colOff>
      <xdr:row>39</xdr:row>
      <xdr:rowOff>109260</xdr:rowOff>
    </xdr:to>
    <xdr:pic>
      <xdr:nvPicPr>
        <xdr:cNvPr id="4" name="Picture 3">
          <a:extLst>
            <a:ext uri="{FF2B5EF4-FFF2-40B4-BE49-F238E27FC236}">
              <a16:creationId xmlns:a16="http://schemas.microsoft.com/office/drawing/2014/main" id="{CBE47D22-7EFF-432C-A8F4-3033A61D1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53725" y="7696200"/>
          <a:ext cx="1506410" cy="1366560"/>
        </a:xfrm>
        <a:prstGeom prst="rect">
          <a:avLst/>
        </a:prstGeom>
      </xdr:spPr>
    </xdr:pic>
    <xdr:clientData/>
  </xdr:twoCellAnchor>
  <xdr:twoCellAnchor editAs="oneCell">
    <xdr:from>
      <xdr:col>11</xdr:col>
      <xdr:colOff>57150</xdr:colOff>
      <xdr:row>33</xdr:row>
      <xdr:rowOff>57150</xdr:rowOff>
    </xdr:from>
    <xdr:to>
      <xdr:col>21</xdr:col>
      <xdr:colOff>189601</xdr:colOff>
      <xdr:row>41</xdr:row>
      <xdr:rowOff>142297</xdr:rowOff>
    </xdr:to>
    <xdr:pic>
      <xdr:nvPicPr>
        <xdr:cNvPr id="2" name="Picture 1">
          <a:extLst>
            <a:ext uri="{FF2B5EF4-FFF2-40B4-BE49-F238E27FC236}">
              <a16:creationId xmlns:a16="http://schemas.microsoft.com/office/drawing/2014/main" id="{07C65324-2C1E-48E9-AE75-DC95A5CB15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57975" y="8048625"/>
          <a:ext cx="2132701" cy="13710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152280</xdr:colOff>
      <xdr:row>19</xdr:row>
      <xdr:rowOff>0</xdr:rowOff>
    </xdr:from>
    <xdr:to>
      <xdr:col>30</xdr:col>
      <xdr:colOff>100440</xdr:colOff>
      <xdr:row>21</xdr:row>
      <xdr:rowOff>221040</xdr:rowOff>
    </xdr:to>
    <xdr:sp macro="" textlink="">
      <xdr:nvSpPr>
        <xdr:cNvPr id="3" name="Rectangle 1">
          <a:extLst>
            <a:ext uri="{FF2B5EF4-FFF2-40B4-BE49-F238E27FC236}">
              <a16:creationId xmlns:a16="http://schemas.microsoft.com/office/drawing/2014/main" id="{00000000-0008-0000-0500-000003000000}"/>
            </a:ext>
          </a:extLst>
        </xdr:cNvPr>
        <xdr:cNvSpPr/>
      </xdr:nvSpPr>
      <xdr:spPr>
        <a:xfrm>
          <a:off x="7724160" y="4400640"/>
          <a:ext cx="3331440" cy="7164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oneCell">
    <xdr:from>
      <xdr:col>14</xdr:col>
      <xdr:colOff>47520</xdr:colOff>
      <xdr:row>13</xdr:row>
      <xdr:rowOff>181080</xdr:rowOff>
    </xdr:from>
    <xdr:to>
      <xdr:col>27</xdr:col>
      <xdr:colOff>12960</xdr:colOff>
      <xdr:row>19</xdr:row>
      <xdr:rowOff>23040</xdr:rowOff>
    </xdr:to>
    <xdr:sp macro="" textlink="">
      <xdr:nvSpPr>
        <xdr:cNvPr id="4" name="Rectangle 2">
          <a:extLst>
            <a:ext uri="{FF2B5EF4-FFF2-40B4-BE49-F238E27FC236}">
              <a16:creationId xmlns:a16="http://schemas.microsoft.com/office/drawing/2014/main" id="{00000000-0008-0000-0500-000004000000}"/>
            </a:ext>
          </a:extLst>
        </xdr:cNvPr>
        <xdr:cNvSpPr/>
      </xdr:nvSpPr>
      <xdr:spPr>
        <a:xfrm>
          <a:off x="7619400" y="3095640"/>
          <a:ext cx="2714040" cy="132804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a:lnSpc>
              <a:spcPct val="100000"/>
            </a:lnSpc>
          </a:pPr>
          <a:r>
            <a:rPr lang="en-US" sz="2200" b="1" strike="noStrike" spc="-1">
              <a:solidFill>
                <a:srgbClr val="F3F0E2"/>
              </a:solidFill>
              <a:latin typeface="Times New Roman"/>
            </a:rPr>
            <a:t>No. 13 &amp; 14 has Formulas - Select and Change letters to Black Colour !  </a:t>
          </a:r>
          <a:endParaRPr lang="en-GB" sz="2200" b="0" strike="noStrike" spc="-1">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26279</xdr:colOff>
      <xdr:row>6</xdr:row>
      <xdr:rowOff>104760</xdr:rowOff>
    </xdr:from>
    <xdr:to>
      <xdr:col>36</xdr:col>
      <xdr:colOff>95249</xdr:colOff>
      <xdr:row>9</xdr:row>
      <xdr:rowOff>103684</xdr:rowOff>
    </xdr:to>
    <xdr:sp macro="" textlink="">
      <xdr:nvSpPr>
        <xdr:cNvPr id="6" name="Rectangle 3">
          <a:extLst>
            <a:ext uri="{FF2B5EF4-FFF2-40B4-BE49-F238E27FC236}">
              <a16:creationId xmlns:a16="http://schemas.microsoft.com/office/drawing/2014/main" id="{00000000-0008-0000-0700-000006000000}"/>
            </a:ext>
          </a:extLst>
        </xdr:cNvPr>
        <xdr:cNvSpPr/>
      </xdr:nvSpPr>
      <xdr:spPr>
        <a:xfrm>
          <a:off x="7160504" y="1019160"/>
          <a:ext cx="4669545" cy="503749"/>
        </a:xfrm>
        <a:prstGeom prst="rect">
          <a:avLst/>
        </a:prstGeom>
        <a:solidFill>
          <a:srgbClr val="FFFFCC"/>
        </a:solidFill>
        <a:ln w="0">
          <a:noFill/>
        </a:ln>
      </xdr:spPr>
      <xdr:style>
        <a:lnRef idx="0">
          <a:scrgbClr r="0" g="0" b="0"/>
        </a:lnRef>
        <a:fillRef idx="0">
          <a:scrgbClr r="0" g="0" b="0"/>
        </a:fillRef>
        <a:effectRef idx="0">
          <a:scrgbClr r="0" g="0" b="0"/>
        </a:effectRef>
        <a:fontRef idx="minor"/>
      </xdr:style>
      <xdr:txBody>
        <a:bodyPr wrap="square" lIns="90000" tIns="45000" rIns="90000" bIns="45000" anchor="t">
          <a:spAutoFit/>
        </a:bodyPr>
        <a:lstStyle/>
        <a:p>
          <a:pPr algn="ctr">
            <a:lnSpc>
              <a:spcPct val="100000"/>
            </a:lnSpc>
          </a:pPr>
          <a:r>
            <a:rPr lang="en-US" sz="2800" b="1" strike="noStrike" spc="-1">
              <a:solidFill>
                <a:srgbClr val="F3F0E2"/>
              </a:solidFill>
              <a:latin typeface="Times New Roman"/>
            </a:rPr>
            <a:t>Yellow colour has no formula</a:t>
          </a:r>
          <a:endParaRPr lang="en-GB" sz="2800" b="0" strike="noStrike" spc="-1">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189000</xdr:colOff>
      <xdr:row>11</xdr:row>
      <xdr:rowOff>95400</xdr:rowOff>
    </xdr:from>
    <xdr:to>
      <xdr:col>31</xdr:col>
      <xdr:colOff>101160</xdr:colOff>
      <xdr:row>14</xdr:row>
      <xdr:rowOff>39612</xdr:rowOff>
    </xdr:to>
    <xdr:sp macro="" textlink="">
      <xdr:nvSpPr>
        <xdr:cNvPr id="8" name="Rectangle 3">
          <a:extLst>
            <a:ext uri="{FF2B5EF4-FFF2-40B4-BE49-F238E27FC236}">
              <a16:creationId xmlns:a16="http://schemas.microsoft.com/office/drawing/2014/main" id="{00000000-0008-0000-0800-000008000000}"/>
            </a:ext>
          </a:extLst>
        </xdr:cNvPr>
        <xdr:cNvSpPr/>
      </xdr:nvSpPr>
      <xdr:spPr>
        <a:xfrm>
          <a:off x="6523125" y="1590825"/>
          <a:ext cx="4112685" cy="887187"/>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a:lnSpc>
              <a:spcPct val="100000"/>
            </a:lnSpc>
          </a:pPr>
          <a:r>
            <a:rPr lang="en-US" sz="5400" b="1" strike="noStrike" spc="-1">
              <a:solidFill>
                <a:srgbClr val="F3F0E2"/>
              </a:solidFill>
              <a:latin typeface="Times New Roman"/>
            </a:rPr>
            <a:t>NEW PAX</a:t>
          </a:r>
          <a:endParaRPr lang="en-GB" sz="5400" b="0" strike="noStrike" spc="-1">
            <a:latin typeface="Times New Roman"/>
          </a:endParaRPr>
        </a:p>
      </xdr:txBody>
    </xdr:sp>
    <xdr:clientData/>
  </xdr:twoCellAnchor>
  <xdr:twoCellAnchor editAs="oneCell">
    <xdr:from>
      <xdr:col>11</xdr:col>
      <xdr:colOff>160380</xdr:colOff>
      <xdr:row>20</xdr:row>
      <xdr:rowOff>218970</xdr:rowOff>
    </xdr:from>
    <xdr:to>
      <xdr:col>31</xdr:col>
      <xdr:colOff>180900</xdr:colOff>
      <xdr:row>27</xdr:row>
      <xdr:rowOff>234810</xdr:rowOff>
    </xdr:to>
    <xdr:sp macro="" textlink="">
      <xdr:nvSpPr>
        <xdr:cNvPr id="9" name="Rectangle 4">
          <a:extLst>
            <a:ext uri="{FF2B5EF4-FFF2-40B4-BE49-F238E27FC236}">
              <a16:creationId xmlns:a16="http://schemas.microsoft.com/office/drawing/2014/main" id="{00000000-0008-0000-0800-000009000000}"/>
            </a:ext>
          </a:extLst>
        </xdr:cNvPr>
        <xdr:cNvSpPr/>
      </xdr:nvSpPr>
      <xdr:spPr>
        <a:xfrm>
          <a:off x="6694530" y="4009920"/>
          <a:ext cx="4021020" cy="174939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a:lnSpc>
              <a:spcPct val="100000"/>
            </a:lnSpc>
          </a:pPr>
          <a:r>
            <a:rPr lang="en-US" sz="3200" b="1" strike="noStrike" spc="-1">
              <a:solidFill>
                <a:srgbClr val="F3F0E2"/>
              </a:solidFill>
              <a:latin typeface="Times New Roman"/>
            </a:rPr>
            <a:t>Check AIS &amp; </a:t>
          </a:r>
          <a:r>
            <a:rPr lang="en-US" sz="3200" b="1" strike="noStrike" spc="-1">
              <a:solidFill>
                <a:srgbClr val="FFFFFF"/>
              </a:solidFill>
              <a:latin typeface="Times New Roman"/>
            </a:rPr>
            <a:t>GER MDH </a:t>
          </a:r>
          <a:endParaRPr lang="en-GB" sz="3200" b="0" strike="noStrike" spc="-1">
            <a:latin typeface="Times New Roman"/>
          </a:endParaRPr>
        </a:p>
        <a:p>
          <a:pPr algn="ctr">
            <a:lnSpc>
              <a:spcPct val="100000"/>
            </a:lnSpc>
          </a:pPr>
          <a:r>
            <a:rPr lang="en-US" sz="3200" b="1" strike="noStrike" spc="-1">
              <a:solidFill>
                <a:srgbClr val="F3F0E2"/>
              </a:solidFill>
              <a:latin typeface="Times New Roman"/>
            </a:rPr>
            <a:t>+ arrival docs</a:t>
          </a:r>
          <a:r>
            <a:rPr lang="en-US" sz="5400" b="1" strike="noStrike" spc="-1">
              <a:solidFill>
                <a:srgbClr val="F3F0E2"/>
              </a:solidFill>
              <a:latin typeface="Times New Roman"/>
            </a:rPr>
            <a:t> </a:t>
          </a:r>
          <a:endParaRPr lang="en-GB" sz="5400" b="0" strike="noStrike" spc="-1">
            <a:latin typeface="Times New Roman"/>
          </a:endParaRPr>
        </a:p>
      </xdr:txBody>
    </xdr:sp>
    <xdr:clientData/>
  </xdr:twoCellAnchor>
  <xdr:twoCellAnchor editAs="oneCell">
    <xdr:from>
      <xdr:col>10</xdr:col>
      <xdr:colOff>29520</xdr:colOff>
      <xdr:row>6</xdr:row>
      <xdr:rowOff>62280</xdr:rowOff>
    </xdr:from>
    <xdr:to>
      <xdr:col>35</xdr:col>
      <xdr:colOff>171450</xdr:colOff>
      <xdr:row>9</xdr:row>
      <xdr:rowOff>61204</xdr:rowOff>
    </xdr:to>
    <xdr:sp macro="" textlink="">
      <xdr:nvSpPr>
        <xdr:cNvPr id="10" name="Rectangle 5">
          <a:extLst>
            <a:ext uri="{FF2B5EF4-FFF2-40B4-BE49-F238E27FC236}">
              <a16:creationId xmlns:a16="http://schemas.microsoft.com/office/drawing/2014/main" id="{00000000-0008-0000-0800-00000A000000}"/>
            </a:ext>
          </a:extLst>
        </xdr:cNvPr>
        <xdr:cNvSpPr/>
      </xdr:nvSpPr>
      <xdr:spPr>
        <a:xfrm>
          <a:off x="6506520" y="976680"/>
          <a:ext cx="5142555" cy="503749"/>
        </a:xfrm>
        <a:prstGeom prst="rect">
          <a:avLst/>
        </a:prstGeom>
        <a:solidFill>
          <a:srgbClr val="FFFFCC"/>
        </a:solidFill>
        <a:ln w="0">
          <a:noFill/>
        </a:ln>
      </xdr:spPr>
      <xdr:style>
        <a:lnRef idx="0">
          <a:scrgbClr r="0" g="0" b="0"/>
        </a:lnRef>
        <a:fillRef idx="0">
          <a:scrgbClr r="0" g="0" b="0"/>
        </a:fillRef>
        <a:effectRef idx="0">
          <a:scrgbClr r="0" g="0" b="0"/>
        </a:effectRef>
        <a:fontRef idx="minor"/>
      </xdr:style>
      <xdr:txBody>
        <a:bodyPr wrap="square" lIns="90000" tIns="45000" rIns="90000" bIns="45000" anchor="t">
          <a:spAutoFit/>
        </a:bodyPr>
        <a:lstStyle/>
        <a:p>
          <a:pPr algn="ctr">
            <a:lnSpc>
              <a:spcPct val="100000"/>
            </a:lnSpc>
          </a:pPr>
          <a:r>
            <a:rPr lang="en-US" sz="2800" b="1" strike="noStrike" spc="-1">
              <a:solidFill>
                <a:srgbClr val="F3F0E2"/>
              </a:solidFill>
              <a:latin typeface="Times New Roman"/>
            </a:rPr>
            <a:t>Yellow colour has no formula</a:t>
          </a:r>
          <a:endParaRPr lang="en-GB" sz="2800" b="0" strike="noStrike" spc="-1">
            <a:latin typeface="Times New Roman"/>
          </a:endParaRPr>
        </a:p>
      </xdr:txBody>
    </xdr:sp>
    <xdr:clientData/>
  </xdr:twoCellAnchor>
  <xdr:twoCellAnchor editAs="oneCell">
    <xdr:from>
      <xdr:col>2</xdr:col>
      <xdr:colOff>285750</xdr:colOff>
      <xdr:row>34</xdr:row>
      <xdr:rowOff>142875</xdr:rowOff>
    </xdr:from>
    <xdr:to>
      <xdr:col>3</xdr:col>
      <xdr:colOff>371475</xdr:colOff>
      <xdr:row>42</xdr:row>
      <xdr:rowOff>14287</xdr:rowOff>
    </xdr:to>
    <xdr:pic>
      <xdr:nvPicPr>
        <xdr:cNvPr id="3" name="Picture 2">
          <a:extLst>
            <a:ext uri="{FF2B5EF4-FFF2-40B4-BE49-F238E27FC236}">
              <a16:creationId xmlns:a16="http://schemas.microsoft.com/office/drawing/2014/main" id="{BF8FE056-7ECC-40E5-B88C-80953F13C1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0" y="7839075"/>
          <a:ext cx="1800225" cy="11572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371160</xdr:colOff>
      <xdr:row>71</xdr:row>
      <xdr:rowOff>523800</xdr:rowOff>
    </xdr:from>
    <xdr:to>
      <xdr:col>2</xdr:col>
      <xdr:colOff>399960</xdr:colOff>
      <xdr:row>82</xdr:row>
      <xdr:rowOff>1114200</xdr:rowOff>
    </xdr:to>
    <xdr:sp macro="" textlink="">
      <xdr:nvSpPr>
        <xdr:cNvPr id="12" name="Line 10">
          <a:extLst>
            <a:ext uri="{FF2B5EF4-FFF2-40B4-BE49-F238E27FC236}">
              <a16:creationId xmlns:a16="http://schemas.microsoft.com/office/drawing/2014/main" id="{00000000-0008-0000-0F00-00000C000000}"/>
            </a:ext>
          </a:extLst>
        </xdr:cNvPr>
        <xdr:cNvSpPr/>
      </xdr:nvSpPr>
      <xdr:spPr>
        <a:xfrm flipH="1" flipV="1">
          <a:off x="1413360" y="12258720"/>
          <a:ext cx="28800" cy="9353160"/>
        </a:xfrm>
        <a:prstGeom prst="line">
          <a:avLst/>
        </a:prstGeom>
        <a:ln w="222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2</xdr:col>
      <xdr:colOff>361800</xdr:colOff>
      <xdr:row>71</xdr:row>
      <xdr:rowOff>523800</xdr:rowOff>
    </xdr:from>
    <xdr:to>
      <xdr:col>7</xdr:col>
      <xdr:colOff>295200</xdr:colOff>
      <xdr:row>82</xdr:row>
      <xdr:rowOff>885600</xdr:rowOff>
    </xdr:to>
    <xdr:sp macro="" textlink="">
      <xdr:nvSpPr>
        <xdr:cNvPr id="13" name="Line 11">
          <a:extLst>
            <a:ext uri="{FF2B5EF4-FFF2-40B4-BE49-F238E27FC236}">
              <a16:creationId xmlns:a16="http://schemas.microsoft.com/office/drawing/2014/main" id="{00000000-0008-0000-0F00-00000D000000}"/>
            </a:ext>
          </a:extLst>
        </xdr:cNvPr>
        <xdr:cNvSpPr/>
      </xdr:nvSpPr>
      <xdr:spPr>
        <a:xfrm>
          <a:off x="1404000" y="12258720"/>
          <a:ext cx="4801680" cy="9124560"/>
        </a:xfrm>
        <a:prstGeom prst="line">
          <a:avLst/>
        </a:prstGeom>
        <a:ln w="22225">
          <a:solidFill>
            <a:srgbClr val="000000"/>
          </a:solidFill>
          <a:round/>
        </a:ln>
      </xdr:spPr>
      <xdr:style>
        <a:lnRef idx="0">
          <a:scrgbClr r="0" g="0" b="0"/>
        </a:lnRef>
        <a:fillRef idx="0">
          <a:scrgbClr r="0" g="0" b="0"/>
        </a:fillRef>
        <a:effectRef idx="0">
          <a:scrgbClr r="0" g="0" b="0"/>
        </a:effectRef>
        <a:fontRef idx="minor"/>
      </xdr:style>
    </xdr:sp>
    <xdr:clientData/>
  </xdr:twoCellAnchor>
  <xdr:twoCellAnchor>
    <xdr:from>
      <xdr:col>7</xdr:col>
      <xdr:colOff>247320</xdr:colOff>
      <xdr:row>74</xdr:row>
      <xdr:rowOff>171360</xdr:rowOff>
    </xdr:from>
    <xdr:to>
      <xdr:col>7</xdr:col>
      <xdr:colOff>314280</xdr:colOff>
      <xdr:row>82</xdr:row>
      <xdr:rowOff>866520</xdr:rowOff>
    </xdr:to>
    <xdr:sp macro="" textlink="">
      <xdr:nvSpPr>
        <xdr:cNvPr id="14" name="Line 12">
          <a:extLst>
            <a:ext uri="{FF2B5EF4-FFF2-40B4-BE49-F238E27FC236}">
              <a16:creationId xmlns:a16="http://schemas.microsoft.com/office/drawing/2014/main" id="{00000000-0008-0000-0F00-00000E000000}"/>
            </a:ext>
          </a:extLst>
        </xdr:cNvPr>
        <xdr:cNvSpPr/>
      </xdr:nvSpPr>
      <xdr:spPr>
        <a:xfrm flipH="1" flipV="1">
          <a:off x="6157800" y="14859000"/>
          <a:ext cx="66960" cy="6505200"/>
        </a:xfrm>
        <a:prstGeom prst="line">
          <a:avLst/>
        </a:prstGeom>
        <a:ln w="22225">
          <a:solidFill>
            <a:srgbClr val="000000"/>
          </a:solidFill>
          <a:round/>
        </a:ln>
      </xdr:spPr>
      <xdr:style>
        <a:lnRef idx="0">
          <a:scrgbClr r="0" g="0" b="0"/>
        </a:lnRef>
        <a:fillRef idx="0">
          <a:scrgbClr r="0" g="0" b="0"/>
        </a:fillRef>
        <a:effectRef idx="0">
          <a:scrgbClr r="0" g="0" b="0"/>
        </a:effectRef>
        <a:fontRef idx="minor"/>
      </xdr:style>
    </xdr:sp>
    <xdr:clientData/>
  </xdr:twoCellAnchor>
  <xdr:twoCellAnchor editAs="oneCell">
    <xdr:from>
      <xdr:col>12</xdr:col>
      <xdr:colOff>190440</xdr:colOff>
      <xdr:row>44</xdr:row>
      <xdr:rowOff>66600</xdr:rowOff>
    </xdr:from>
    <xdr:to>
      <xdr:col>14</xdr:col>
      <xdr:colOff>92880</xdr:colOff>
      <xdr:row>45</xdr:row>
      <xdr:rowOff>121680</xdr:rowOff>
    </xdr:to>
    <xdr:pic>
      <xdr:nvPicPr>
        <xdr:cNvPr id="15" name="Picture 2">
          <a:extLst>
            <a:ext uri="{FF2B5EF4-FFF2-40B4-BE49-F238E27FC236}">
              <a16:creationId xmlns:a16="http://schemas.microsoft.com/office/drawing/2014/main" id="{00000000-0008-0000-0F00-00000F000000}"/>
            </a:ext>
          </a:extLst>
        </xdr:cNvPr>
        <xdr:cNvPicPr/>
      </xdr:nvPicPr>
      <xdr:blipFill>
        <a:blip xmlns:r="http://schemas.openxmlformats.org/officeDocument/2006/relationships" r:embed="rId1"/>
        <a:stretch/>
      </xdr:blipFill>
      <xdr:spPr>
        <a:xfrm>
          <a:off x="9361080" y="7410240"/>
          <a:ext cx="999720" cy="217080"/>
        </a:xfrm>
        <a:prstGeom prst="rect">
          <a:avLst/>
        </a:prstGeom>
        <a:ln w="1">
          <a:noFill/>
        </a:ln>
      </xdr:spPr>
    </xdr:pic>
    <xdr:clientData/>
  </xdr:twoCellAnchor>
  <xdr:twoCellAnchor editAs="oneCell">
    <xdr:from>
      <xdr:col>17</xdr:col>
      <xdr:colOff>66675</xdr:colOff>
      <xdr:row>53</xdr:row>
      <xdr:rowOff>142875</xdr:rowOff>
    </xdr:from>
    <xdr:to>
      <xdr:col>20</xdr:col>
      <xdr:colOff>456301</xdr:colOff>
      <xdr:row>62</xdr:row>
      <xdr:rowOff>37522</xdr:rowOff>
    </xdr:to>
    <xdr:pic>
      <xdr:nvPicPr>
        <xdr:cNvPr id="4" name="Picture 3">
          <a:extLst>
            <a:ext uri="{FF2B5EF4-FFF2-40B4-BE49-F238E27FC236}">
              <a16:creationId xmlns:a16="http://schemas.microsoft.com/office/drawing/2014/main" id="{E3EF4259-B38D-46B7-8132-EDCCC1316D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25250" y="9058275"/>
          <a:ext cx="2132701" cy="1371022"/>
        </a:xfrm>
        <a:prstGeom prst="rect">
          <a:avLst/>
        </a:prstGeom>
      </xdr:spPr>
    </xdr:pic>
    <xdr:clientData/>
  </xdr:twoCellAnchor>
  <xdr:twoCellAnchor editAs="oneCell">
    <xdr:from>
      <xdr:col>14</xdr:col>
      <xdr:colOff>418940</xdr:colOff>
      <xdr:row>70</xdr:row>
      <xdr:rowOff>38260</xdr:rowOff>
    </xdr:from>
    <xdr:to>
      <xdr:col>17</xdr:col>
      <xdr:colOff>46887</xdr:colOff>
      <xdr:row>72</xdr:row>
      <xdr:rowOff>1342286</xdr:rowOff>
    </xdr:to>
    <xdr:pic>
      <xdr:nvPicPr>
        <xdr:cNvPr id="5" name="Picture 4">
          <a:extLst>
            <a:ext uri="{FF2B5EF4-FFF2-40B4-BE49-F238E27FC236}">
              <a16:creationId xmlns:a16="http://schemas.microsoft.com/office/drawing/2014/main" id="{AC9806A6-B765-4F7B-B776-AD4B9D5FBA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6200000">
          <a:off x="9753600" y="12106275"/>
          <a:ext cx="2132701" cy="13710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FFICE-OC\DOCUMENT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ail%20pc\Documents\My%20Documents\2nd%20mate\DOCU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ls"/>
      <sheetName val="Crew"/>
      <sheetName val="Visitors"/>
      <sheetName val="ISPS"/>
      <sheetName val="ANR_ISPS new"/>
      <sheetName val="ANR ISPS"/>
      <sheetName val="Pass"/>
      <sheetName val="Eff."/>
      <sheetName val="Sto"/>
      <sheetName val="MON 1"/>
      <sheetName val="MON 2"/>
      <sheetName val="MON 3"/>
      <sheetName val="MON Waste"/>
      <sheetName val="ANR Waste"/>
      <sheetName val="LVE Waste"/>
      <sheetName val="Sto RTM"/>
      <sheetName val="W Vig"/>
      <sheetName val="W Vig 2"/>
      <sheetName val="W PORT"/>
      <sheetName val="W LIS"/>
      <sheetName val="W RTM"/>
      <sheetName val="Health UK"/>
      <sheetName val="Health POR"/>
      <sheetName val="UK ISPS"/>
      <sheetName val="Gen.Dec."/>
      <sheetName val="BEL WASTE"/>
      <sheetName val="DUB GRK Waste"/>
      <sheetName val="LHR Waste"/>
      <sheetName val="Waste GREENOCK"/>
      <sheetName val="GRG Waste"/>
      <sheetName val="Cash advance"/>
      <sheetName val="ZEE ISPS "/>
      <sheetName val="ZEE Waste"/>
      <sheetName val="NIL LIST"/>
      <sheetName val="Visitors List"/>
      <sheetName val="Waste Inf"/>
      <sheetName val="Gen. Decl. IN"/>
      <sheetName val="Gen. Decl. OUT"/>
      <sheetName val="Vacc."/>
      <sheetName val="Police Decl."/>
      <sheetName val="ISPS DOS"/>
      <sheetName val="CL for Tilbury"/>
      <sheetName val="CL Egypt"/>
    </sheetNames>
    <sheetDataSet>
      <sheetData sheetId="0">
        <row r="3">
          <cell r="C3" t="str">
            <v>Cyprus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ISPS (POC COMPANY FORM)"/>
      <sheetName val="Port of call list"/>
      <sheetName val="Crew arr"/>
      <sheetName val="Crew dep"/>
      <sheetName val="Crew effects"/>
      <sheetName val="Ship's Stores"/>
      <sheetName val="PAX (A)"/>
      <sheetName val="PAX (D)"/>
      <sheetName val="NARCOTICS LIST"/>
      <sheetName val="NIL list"/>
      <sheetName val="Crew money"/>
      <sheetName val="Cash Adv."/>
      <sheetName val="Smokers"/>
      <sheetName val="Vaccination"/>
      <sheetName val="MDH"/>
      <sheetName val="crew contact number"/>
    </sheetNames>
    <sheetDataSet>
      <sheetData sheetId="0" refreshError="1">
        <row r="1">
          <cell r="C1" t="str">
            <v>HANNA</v>
          </cell>
        </row>
        <row r="12">
          <cell r="J12">
            <v>1</v>
          </cell>
        </row>
        <row r="13">
          <cell r="J13">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3ED2D"/>
  </sheetPr>
  <dimension ref="B1:AB112"/>
  <sheetViews>
    <sheetView showGridLines="0" zoomScaleNormal="100" zoomScaleSheetLayoutView="100" workbookViewId="0">
      <pane ySplit="22" topLeftCell="A23" activePane="bottomLeft" state="frozen"/>
      <selection pane="bottomLeft" activeCell="E21" sqref="E21:I21"/>
    </sheetView>
  </sheetViews>
  <sheetFormatPr defaultColWidth="8.7109375" defaultRowHeight="12.75"/>
  <cols>
    <col min="1" max="1" width="0.7109375" customWidth="1"/>
    <col min="2" max="2" width="11.5703125" customWidth="1"/>
    <col min="3" max="3" width="4.140625" customWidth="1"/>
    <col min="4" max="4" width="15.140625" customWidth="1"/>
    <col min="5" max="5" width="1.85546875" customWidth="1"/>
    <col min="6" max="6" width="1.7109375" customWidth="1"/>
    <col min="7" max="7" width="9.28515625" customWidth="1"/>
    <col min="8" max="8" width="9.5703125" customWidth="1"/>
    <col min="9" max="9" width="1.42578125" customWidth="1"/>
    <col min="10" max="10" width="3.5703125" customWidth="1"/>
    <col min="11" max="11" width="5.140625" style="1" customWidth="1"/>
    <col min="12" max="12" width="30" style="2" customWidth="1"/>
    <col min="13" max="13" width="9.5703125" style="1" customWidth="1"/>
    <col min="14" max="14" width="2.28515625" style="1" customWidth="1"/>
    <col min="15" max="15" width="12.7109375" style="1" customWidth="1"/>
    <col min="16" max="16" width="10.85546875" style="27" customWidth="1"/>
    <col min="17" max="17" width="9.140625" style="1" customWidth="1"/>
    <col min="18" max="18" width="9.5703125" style="1" customWidth="1"/>
    <col min="19" max="20" width="12.7109375" style="27" customWidth="1"/>
    <col min="21" max="22" width="22.7109375" style="230" customWidth="1"/>
    <col min="23" max="23" width="13.85546875" customWidth="1"/>
    <col min="24" max="24" width="22.7109375" customWidth="1"/>
    <col min="25" max="25" width="15" style="418" customWidth="1"/>
    <col min="26" max="26" width="22.5703125" style="418" customWidth="1"/>
    <col min="27" max="28" width="13.28515625" style="230" customWidth="1"/>
  </cols>
  <sheetData>
    <row r="1" spans="2:28" ht="6" customHeight="1" thickBot="1"/>
    <row r="2" spans="2:28" ht="20.100000000000001" customHeight="1" thickBot="1">
      <c r="B2" s="703" t="s">
        <v>1</v>
      </c>
      <c r="C2" s="704"/>
      <c r="D2" s="409" t="s">
        <v>2</v>
      </c>
      <c r="E2" s="3"/>
      <c r="F2" s="705" t="s">
        <v>3</v>
      </c>
      <c r="G2" s="706"/>
      <c r="H2" s="709" t="s">
        <v>4</v>
      </c>
      <c r="I2" s="710"/>
      <c r="J2" s="4"/>
      <c r="K2" s="672" t="s">
        <v>685</v>
      </c>
      <c r="L2" s="673"/>
      <c r="M2" s="673"/>
      <c r="N2" s="673"/>
      <c r="O2" s="673"/>
      <c r="P2" s="673"/>
      <c r="Q2" s="673"/>
      <c r="R2" s="673"/>
      <c r="S2" s="673"/>
      <c r="T2" s="673"/>
      <c r="U2" s="673"/>
      <c r="V2" s="673"/>
      <c r="W2" s="673"/>
      <c r="X2" s="673"/>
      <c r="Y2" s="673"/>
      <c r="Z2" s="673"/>
      <c r="AA2" s="673"/>
      <c r="AB2" s="674"/>
    </row>
    <row r="3" spans="2:28" ht="5.25" customHeight="1" thickBot="1">
      <c r="B3" s="548"/>
      <c r="C3" s="19"/>
      <c r="D3" s="410"/>
      <c r="E3" s="3"/>
      <c r="F3" s="549"/>
      <c r="G3" s="550"/>
      <c r="H3" s="412"/>
      <c r="I3" s="4"/>
      <c r="J3" s="4"/>
      <c r="K3" s="4"/>
    </row>
    <row r="4" spans="2:28" ht="20.100000000000001" customHeight="1">
      <c r="B4" s="703" t="s">
        <v>5</v>
      </c>
      <c r="C4" s="704"/>
      <c r="D4" s="411" t="s">
        <v>6</v>
      </c>
      <c r="E4" s="3"/>
      <c r="F4" s="707" t="s">
        <v>7</v>
      </c>
      <c r="G4" s="708"/>
      <c r="H4" s="709" t="s">
        <v>8</v>
      </c>
      <c r="I4" s="710"/>
      <c r="J4" s="4"/>
      <c r="K4" s="683" t="s">
        <v>18</v>
      </c>
      <c r="L4" s="685" t="s">
        <v>688</v>
      </c>
      <c r="M4" s="687" t="s">
        <v>19</v>
      </c>
      <c r="N4" s="689" t="s">
        <v>20</v>
      </c>
      <c r="O4" s="691"/>
      <c r="P4" s="689" t="s">
        <v>687</v>
      </c>
      <c r="Q4" s="690"/>
      <c r="R4" s="691"/>
      <c r="S4" s="695" t="s">
        <v>21</v>
      </c>
      <c r="T4" s="697" t="s">
        <v>676</v>
      </c>
      <c r="U4" s="699" t="s">
        <v>666</v>
      </c>
      <c r="V4" s="701" t="s">
        <v>667</v>
      </c>
      <c r="W4" s="675" t="s">
        <v>674</v>
      </c>
      <c r="X4" s="677" t="s">
        <v>675</v>
      </c>
      <c r="Y4" s="679" t="s">
        <v>689</v>
      </c>
      <c r="Z4" s="679" t="s">
        <v>675</v>
      </c>
      <c r="AA4" s="681" t="s">
        <v>897</v>
      </c>
      <c r="AB4" s="681" t="s">
        <v>898</v>
      </c>
    </row>
    <row r="5" spans="2:28" ht="7.5" customHeight="1" thickBot="1">
      <c r="B5" s="548"/>
      <c r="C5" s="19"/>
      <c r="D5" s="410"/>
      <c r="E5" s="3"/>
      <c r="F5" s="549"/>
      <c r="G5" s="550"/>
      <c r="H5" s="413"/>
      <c r="I5" s="4"/>
      <c r="J5" s="4"/>
      <c r="K5" s="684"/>
      <c r="L5" s="686"/>
      <c r="M5" s="688"/>
      <c r="N5" s="692"/>
      <c r="O5" s="694"/>
      <c r="P5" s="692"/>
      <c r="Q5" s="693"/>
      <c r="R5" s="694"/>
      <c r="S5" s="696"/>
      <c r="T5" s="698"/>
      <c r="U5" s="700"/>
      <c r="V5" s="702"/>
      <c r="W5" s="676"/>
      <c r="X5" s="678"/>
      <c r="Y5" s="680"/>
      <c r="Z5" s="680"/>
      <c r="AA5" s="682"/>
      <c r="AB5" s="682"/>
    </row>
    <row r="6" spans="2:28" ht="15" customHeight="1">
      <c r="B6" s="703" t="s">
        <v>9</v>
      </c>
      <c r="C6" s="704"/>
      <c r="D6" s="409">
        <v>9376048</v>
      </c>
      <c r="E6" s="3"/>
      <c r="F6" s="705" t="s">
        <v>10</v>
      </c>
      <c r="G6" s="706"/>
      <c r="H6" s="709" t="s">
        <v>11</v>
      </c>
      <c r="I6" s="710"/>
      <c r="J6" s="4"/>
      <c r="K6" s="404">
        <v>1</v>
      </c>
      <c r="L6" s="400" t="s">
        <v>94</v>
      </c>
      <c r="M6" s="12" t="s">
        <v>24</v>
      </c>
      <c r="N6" s="629" t="s">
        <v>38</v>
      </c>
      <c r="O6" s="630"/>
      <c r="P6" s="419">
        <v>31731</v>
      </c>
      <c r="Q6" s="631" t="s">
        <v>95</v>
      </c>
      <c r="R6" s="632"/>
      <c r="S6" s="421" t="s">
        <v>96</v>
      </c>
      <c r="T6" s="12" t="s">
        <v>97</v>
      </c>
      <c r="U6" s="12" t="s">
        <v>98</v>
      </c>
      <c r="V6" s="12" t="s">
        <v>857</v>
      </c>
      <c r="W6" s="577" t="s">
        <v>744</v>
      </c>
      <c r="X6" s="577" t="s">
        <v>745</v>
      </c>
      <c r="Y6" s="578" t="s">
        <v>709</v>
      </c>
      <c r="Z6" s="579"/>
      <c r="AA6" s="562">
        <v>46130</v>
      </c>
      <c r="AB6" s="558" t="s">
        <v>915</v>
      </c>
    </row>
    <row r="7" spans="2:28" ht="15" customHeight="1">
      <c r="C7" s="3"/>
      <c r="G7" s="406"/>
      <c r="K7" s="402">
        <v>2</v>
      </c>
      <c r="L7" s="400" t="s">
        <v>647</v>
      </c>
      <c r="M7" s="12" t="s">
        <v>31</v>
      </c>
      <c r="N7" s="629" t="s">
        <v>52</v>
      </c>
      <c r="O7" s="630"/>
      <c r="P7" s="419">
        <v>31920</v>
      </c>
      <c r="Q7" s="638" t="s">
        <v>653</v>
      </c>
      <c r="R7" s="639"/>
      <c r="S7" s="421" t="s">
        <v>637</v>
      </c>
      <c r="T7" s="12" t="s">
        <v>638</v>
      </c>
      <c r="U7" s="12" t="s">
        <v>639</v>
      </c>
      <c r="V7" s="12" t="s">
        <v>640</v>
      </c>
      <c r="W7" s="395" t="s">
        <v>678</v>
      </c>
      <c r="X7" s="491" t="s">
        <v>701</v>
      </c>
      <c r="Y7" s="395"/>
      <c r="Z7" s="579"/>
      <c r="AA7" s="557">
        <v>46153</v>
      </c>
      <c r="AB7" s="558" t="s">
        <v>915</v>
      </c>
    </row>
    <row r="8" spans="2:28" ht="15" customHeight="1">
      <c r="B8" s="656" t="s">
        <v>12</v>
      </c>
      <c r="C8" s="657"/>
      <c r="D8" s="407">
        <v>46167</v>
      </c>
      <c r="E8" s="552"/>
      <c r="G8" s="5" t="s">
        <v>0</v>
      </c>
      <c r="H8" s="6" t="s">
        <v>0</v>
      </c>
      <c r="I8" s="7" t="s">
        <v>0</v>
      </c>
      <c r="J8" s="8"/>
      <c r="K8" s="453">
        <v>3</v>
      </c>
      <c r="L8" s="467" t="s">
        <v>806</v>
      </c>
      <c r="M8" s="468" t="s">
        <v>37</v>
      </c>
      <c r="N8" s="629" t="s">
        <v>38</v>
      </c>
      <c r="O8" s="630"/>
      <c r="P8" s="471">
        <v>33186</v>
      </c>
      <c r="Q8" s="631" t="s">
        <v>99</v>
      </c>
      <c r="R8" s="632"/>
      <c r="S8" s="472" t="s">
        <v>807</v>
      </c>
      <c r="T8" s="468" t="s">
        <v>808</v>
      </c>
      <c r="U8" s="468" t="s">
        <v>809</v>
      </c>
      <c r="V8" s="468" t="s">
        <v>810</v>
      </c>
      <c r="W8" s="470" t="s">
        <v>722</v>
      </c>
      <c r="X8" s="429"/>
      <c r="Y8" s="469" t="s">
        <v>709</v>
      </c>
      <c r="Z8" s="556"/>
      <c r="AA8" s="512">
        <v>46068</v>
      </c>
      <c r="AB8" s="592" t="s">
        <v>915</v>
      </c>
    </row>
    <row r="9" spans="2:28" ht="15" customHeight="1">
      <c r="B9" s="548"/>
      <c r="C9" s="19"/>
      <c r="D9" s="408" t="s">
        <v>13</v>
      </c>
      <c r="E9" s="548"/>
      <c r="G9" s="10"/>
      <c r="H9" s="7" t="s">
        <v>0</v>
      </c>
      <c r="I9" s="7"/>
      <c r="K9" s="402">
        <v>4</v>
      </c>
      <c r="L9" s="129" t="s">
        <v>868</v>
      </c>
      <c r="M9" s="12" t="s">
        <v>40</v>
      </c>
      <c r="N9" s="629" t="s">
        <v>38</v>
      </c>
      <c r="O9" s="630"/>
      <c r="P9" s="419">
        <v>21788</v>
      </c>
      <c r="Q9" s="638" t="s">
        <v>99</v>
      </c>
      <c r="R9" s="639"/>
      <c r="S9" s="12" t="s">
        <v>100</v>
      </c>
      <c r="T9" s="12" t="s">
        <v>101</v>
      </c>
      <c r="U9" s="396" t="s">
        <v>102</v>
      </c>
      <c r="V9" s="620" t="s">
        <v>738</v>
      </c>
      <c r="W9" s="395"/>
      <c r="X9" s="429"/>
      <c r="Y9" s="254" t="s">
        <v>709</v>
      </c>
      <c r="Z9" s="556"/>
      <c r="AA9" s="511">
        <v>46153</v>
      </c>
      <c r="AB9" s="592" t="s">
        <v>915</v>
      </c>
    </row>
    <row r="10" spans="2:28" ht="15" customHeight="1">
      <c r="B10" s="663" t="s">
        <v>15</v>
      </c>
      <c r="C10" s="664"/>
      <c r="D10" s="407">
        <v>46168</v>
      </c>
      <c r="E10" s="552"/>
      <c r="G10" t="s">
        <v>14</v>
      </c>
      <c r="H10" s="7"/>
      <c r="I10" s="7"/>
      <c r="K10" s="402">
        <v>5</v>
      </c>
      <c r="L10" s="467" t="s">
        <v>936</v>
      </c>
      <c r="M10" s="12" t="s">
        <v>45</v>
      </c>
      <c r="N10" s="648" t="s">
        <v>38</v>
      </c>
      <c r="O10" s="649"/>
      <c r="P10" s="471">
        <v>31151</v>
      </c>
      <c r="Q10" s="644" t="s">
        <v>38</v>
      </c>
      <c r="R10" s="645"/>
      <c r="S10" s="468" t="s">
        <v>937</v>
      </c>
      <c r="T10" s="468" t="s">
        <v>938</v>
      </c>
      <c r="U10" s="589" t="s">
        <v>939</v>
      </c>
      <c r="V10" s="589" t="s">
        <v>940</v>
      </c>
      <c r="W10" s="470" t="s">
        <v>722</v>
      </c>
      <c r="X10" s="508"/>
      <c r="Y10" s="469" t="s">
        <v>709</v>
      </c>
      <c r="Z10" s="556"/>
      <c r="AA10" s="562">
        <v>46059</v>
      </c>
      <c r="AB10" s="558" t="s">
        <v>941</v>
      </c>
    </row>
    <row r="11" spans="2:28" ht="15" customHeight="1">
      <c r="B11" s="548"/>
      <c r="C11" s="549"/>
      <c r="D11" s="553" t="s">
        <v>16</v>
      </c>
      <c r="E11" s="548"/>
      <c r="G11" s="1" t="s">
        <v>17</v>
      </c>
      <c r="H11" s="397"/>
      <c r="I11" s="7"/>
      <c r="K11" s="402">
        <v>6</v>
      </c>
      <c r="L11" s="467" t="s">
        <v>955</v>
      </c>
      <c r="M11" s="468" t="s">
        <v>51</v>
      </c>
      <c r="N11" s="629" t="s">
        <v>52</v>
      </c>
      <c r="O11" s="630"/>
      <c r="P11" s="471">
        <v>33807</v>
      </c>
      <c r="Q11" s="631" t="s">
        <v>956</v>
      </c>
      <c r="R11" s="632"/>
      <c r="S11" s="472" t="s">
        <v>965</v>
      </c>
      <c r="T11" s="468" t="s">
        <v>967</v>
      </c>
      <c r="U11" s="468" t="s">
        <v>966</v>
      </c>
      <c r="V11" s="468" t="s">
        <v>968</v>
      </c>
      <c r="W11" s="469" t="s">
        <v>975</v>
      </c>
      <c r="X11" s="429" t="s">
        <v>976</v>
      </c>
      <c r="Y11" s="469" t="s">
        <v>973</v>
      </c>
      <c r="Z11" s="491" t="s">
        <v>974</v>
      </c>
      <c r="AA11" s="557">
        <v>46069</v>
      </c>
      <c r="AB11" s="558" t="s">
        <v>915</v>
      </c>
    </row>
    <row r="12" spans="2:28" ht="15" customHeight="1">
      <c r="B12" s="661" t="s">
        <v>22</v>
      </c>
      <c r="C12" s="662"/>
      <c r="D12" s="667" t="s">
        <v>942</v>
      </c>
      <c r="E12" s="668"/>
      <c r="F12" s="253"/>
      <c r="G12" s="667" t="s">
        <v>886</v>
      </c>
      <c r="H12" s="668"/>
      <c r="J12" s="11"/>
      <c r="K12" s="402">
        <v>7</v>
      </c>
      <c r="L12" s="467" t="s">
        <v>836</v>
      </c>
      <c r="M12" s="468" t="s">
        <v>269</v>
      </c>
      <c r="N12" s="629" t="s">
        <v>52</v>
      </c>
      <c r="O12" s="630"/>
      <c r="P12" s="471">
        <v>36429</v>
      </c>
      <c r="Q12" s="636" t="s">
        <v>837</v>
      </c>
      <c r="R12" s="637"/>
      <c r="S12" s="472" t="s">
        <v>838</v>
      </c>
      <c r="T12" s="468" t="s">
        <v>839</v>
      </c>
      <c r="U12" s="468" t="s">
        <v>840</v>
      </c>
      <c r="V12" s="468" t="s">
        <v>841</v>
      </c>
      <c r="W12" s="469" t="s">
        <v>842</v>
      </c>
      <c r="X12" s="429" t="s">
        <v>843</v>
      </c>
      <c r="Y12" s="469" t="s">
        <v>858</v>
      </c>
      <c r="Z12" s="491" t="s">
        <v>859</v>
      </c>
      <c r="AA12" s="562">
        <v>45886</v>
      </c>
      <c r="AB12" s="558" t="s">
        <v>634</v>
      </c>
    </row>
    <row r="13" spans="2:28" ht="15" customHeight="1">
      <c r="B13" s="548"/>
      <c r="C13" s="551"/>
      <c r="D13" s="408" t="s">
        <v>17</v>
      </c>
      <c r="E13" s="527" t="s">
        <v>13</v>
      </c>
      <c r="G13" s="667" t="s">
        <v>942</v>
      </c>
      <c r="H13" s="668"/>
      <c r="I13" s="522"/>
      <c r="K13" s="402">
        <v>8</v>
      </c>
      <c r="L13" s="467" t="s">
        <v>943</v>
      </c>
      <c r="M13" s="468" t="s">
        <v>269</v>
      </c>
      <c r="N13" s="629" t="s">
        <v>52</v>
      </c>
      <c r="O13" s="630"/>
      <c r="P13" s="471">
        <v>36100</v>
      </c>
      <c r="Q13" s="631" t="s">
        <v>944</v>
      </c>
      <c r="R13" s="632"/>
      <c r="S13" s="472" t="s">
        <v>945</v>
      </c>
      <c r="T13" s="468" t="s">
        <v>947</v>
      </c>
      <c r="U13" s="468" t="s">
        <v>946</v>
      </c>
      <c r="V13" s="468" t="s">
        <v>948</v>
      </c>
      <c r="W13" s="469" t="s">
        <v>977</v>
      </c>
      <c r="X13" s="429" t="s">
        <v>978</v>
      </c>
      <c r="Y13" s="508" t="s">
        <v>969</v>
      </c>
      <c r="Z13" s="429" t="s">
        <v>970</v>
      </c>
      <c r="AA13" s="512">
        <v>46068</v>
      </c>
      <c r="AB13" s="558" t="s">
        <v>915</v>
      </c>
    </row>
    <row r="14" spans="2:28" ht="15" customHeight="1">
      <c r="B14" s="661" t="s">
        <v>917</v>
      </c>
      <c r="C14" s="662"/>
      <c r="D14" s="667" t="s">
        <v>886</v>
      </c>
      <c r="E14" s="668"/>
      <c r="G14" s="667" t="s">
        <v>987</v>
      </c>
      <c r="H14" s="669"/>
      <c r="I14" s="522"/>
      <c r="K14" s="402">
        <v>9</v>
      </c>
      <c r="L14" s="467" t="s">
        <v>949</v>
      </c>
      <c r="M14" s="468" t="s">
        <v>269</v>
      </c>
      <c r="N14" s="629" t="s">
        <v>52</v>
      </c>
      <c r="O14" s="630"/>
      <c r="P14" s="471">
        <v>36743</v>
      </c>
      <c r="Q14" s="631" t="s">
        <v>950</v>
      </c>
      <c r="R14" s="632"/>
      <c r="S14" s="472" t="s">
        <v>951</v>
      </c>
      <c r="T14" s="468" t="s">
        <v>952</v>
      </c>
      <c r="U14" s="468" t="s">
        <v>953</v>
      </c>
      <c r="V14" s="468" t="s">
        <v>954</v>
      </c>
      <c r="W14" s="470" t="s">
        <v>722</v>
      </c>
      <c r="X14" s="429"/>
      <c r="Y14" s="469" t="s">
        <v>971</v>
      </c>
      <c r="Z14" s="429" t="s">
        <v>972</v>
      </c>
      <c r="AA14" s="512">
        <v>46068</v>
      </c>
      <c r="AB14" s="558" t="s">
        <v>915</v>
      </c>
    </row>
    <row r="15" spans="2:28" ht="15" customHeight="1">
      <c r="B15" s="548"/>
      <c r="C15" s="19"/>
      <c r="D15" s="408" t="s">
        <v>36</v>
      </c>
      <c r="E15" s="527" t="s">
        <v>13</v>
      </c>
      <c r="F15" s="1" t="s">
        <v>0</v>
      </c>
      <c r="G15" s="670" t="s">
        <v>901</v>
      </c>
      <c r="H15" s="671"/>
      <c r="K15" s="448">
        <v>10</v>
      </c>
      <c r="L15" s="467" t="s">
        <v>821</v>
      </c>
      <c r="M15" s="468" t="s">
        <v>269</v>
      </c>
      <c r="N15" s="629" t="s">
        <v>52</v>
      </c>
      <c r="O15" s="630"/>
      <c r="P15" s="471">
        <v>36517</v>
      </c>
      <c r="Q15" s="638" t="s">
        <v>822</v>
      </c>
      <c r="R15" s="639"/>
      <c r="S15" s="472" t="s">
        <v>823</v>
      </c>
      <c r="T15" s="468" t="s">
        <v>824</v>
      </c>
      <c r="U15" s="468" t="s">
        <v>825</v>
      </c>
      <c r="V15" s="468" t="s">
        <v>826</v>
      </c>
      <c r="W15" s="469" t="s">
        <v>827</v>
      </c>
      <c r="X15" s="508" t="s">
        <v>818</v>
      </c>
      <c r="Y15" s="469" t="s">
        <v>887</v>
      </c>
      <c r="Z15" s="491" t="s">
        <v>888</v>
      </c>
      <c r="AA15" s="512">
        <v>46068</v>
      </c>
      <c r="AB15" s="558" t="s">
        <v>896</v>
      </c>
    </row>
    <row r="16" spans="2:28" ht="15" customHeight="1">
      <c r="B16" s="661" t="s">
        <v>916</v>
      </c>
      <c r="C16" s="662"/>
      <c r="D16" s="670" t="s">
        <v>901</v>
      </c>
      <c r="E16" s="671"/>
      <c r="F16" s="253"/>
      <c r="G16" s="670" t="s">
        <v>902</v>
      </c>
      <c r="H16" s="671"/>
      <c r="K16" s="402">
        <v>11</v>
      </c>
      <c r="L16" s="401" t="s">
        <v>929</v>
      </c>
      <c r="M16" s="12" t="s">
        <v>71</v>
      </c>
      <c r="N16" s="644" t="s">
        <v>52</v>
      </c>
      <c r="O16" s="645"/>
      <c r="P16" s="419">
        <v>36614</v>
      </c>
      <c r="Q16" s="636" t="s">
        <v>930</v>
      </c>
      <c r="R16" s="637"/>
      <c r="S16" s="12" t="s">
        <v>931</v>
      </c>
      <c r="T16" s="12" t="s">
        <v>932</v>
      </c>
      <c r="U16" s="12" t="s">
        <v>933</v>
      </c>
      <c r="V16" s="12" t="s">
        <v>934</v>
      </c>
      <c r="W16" s="470" t="s">
        <v>722</v>
      </c>
      <c r="X16" s="429"/>
      <c r="Y16" s="587"/>
      <c r="Z16" s="588"/>
      <c r="AA16" s="512">
        <v>46033</v>
      </c>
      <c r="AB16" s="505" t="s">
        <v>907</v>
      </c>
    </row>
    <row r="17" spans="2:28" ht="15" customHeight="1">
      <c r="B17" s="548"/>
      <c r="C17" s="549"/>
      <c r="D17" s="398" t="s">
        <v>44</v>
      </c>
      <c r="F17" s="10"/>
      <c r="G17" s="670" t="s">
        <v>903</v>
      </c>
      <c r="H17" s="671"/>
      <c r="K17" s="402">
        <v>12</v>
      </c>
      <c r="L17" s="467" t="s">
        <v>957</v>
      </c>
      <c r="M17" s="468" t="s">
        <v>77</v>
      </c>
      <c r="N17" s="629" t="s">
        <v>52</v>
      </c>
      <c r="O17" s="630"/>
      <c r="P17" s="471">
        <v>31894</v>
      </c>
      <c r="Q17" s="631" t="s">
        <v>958</v>
      </c>
      <c r="R17" s="632"/>
      <c r="S17" s="472" t="s">
        <v>959</v>
      </c>
      <c r="T17" s="468" t="s">
        <v>960</v>
      </c>
      <c r="U17" s="468" t="s">
        <v>961</v>
      </c>
      <c r="V17" s="468" t="s">
        <v>962</v>
      </c>
      <c r="W17" s="470" t="s">
        <v>722</v>
      </c>
      <c r="X17" s="429"/>
      <c r="Y17" s="508" t="s">
        <v>963</v>
      </c>
      <c r="Z17" s="429" t="s">
        <v>964</v>
      </c>
      <c r="AA17" s="557">
        <v>46063</v>
      </c>
      <c r="AB17" s="558" t="s">
        <v>910</v>
      </c>
    </row>
    <row r="18" spans="2:28" ht="15" customHeight="1" thickBot="1">
      <c r="B18" s="665" t="s">
        <v>686</v>
      </c>
      <c r="C18" s="666"/>
      <c r="D18" s="399" t="s">
        <v>50</v>
      </c>
      <c r="E18" s="1" t="s">
        <v>0</v>
      </c>
      <c r="G18" s="9"/>
      <c r="H18" t="s">
        <v>0</v>
      </c>
      <c r="K18" s="403">
        <v>13</v>
      </c>
      <c r="L18" s="601" t="s">
        <v>1001</v>
      </c>
      <c r="M18" s="288" t="s">
        <v>84</v>
      </c>
      <c r="N18" s="713" t="s">
        <v>52</v>
      </c>
      <c r="O18" s="714"/>
      <c r="P18" s="566">
        <v>37407</v>
      </c>
      <c r="Q18" s="715" t="s">
        <v>1011</v>
      </c>
      <c r="R18" s="716"/>
      <c r="S18" s="288" t="s">
        <v>1012</v>
      </c>
      <c r="T18" s="288" t="s">
        <v>1013</v>
      </c>
      <c r="U18" s="567" t="s">
        <v>1014</v>
      </c>
      <c r="V18" s="288" t="s">
        <v>1015</v>
      </c>
      <c r="W18" s="602" t="s">
        <v>722</v>
      </c>
      <c r="X18" s="603"/>
      <c r="Y18" s="604" t="s">
        <v>882</v>
      </c>
      <c r="Z18" s="604" t="s">
        <v>883</v>
      </c>
      <c r="AA18" s="605">
        <v>46153</v>
      </c>
      <c r="AB18" s="568" t="s">
        <v>915</v>
      </c>
    </row>
    <row r="19" spans="2:28">
      <c r="C19" s="19"/>
      <c r="D19" s="21"/>
      <c r="F19" s="22"/>
      <c r="K19" s="27"/>
      <c r="M19" s="27"/>
      <c r="N19" s="27"/>
      <c r="O19" s="27"/>
      <c r="P19" s="597"/>
      <c r="Q19" s="2"/>
      <c r="R19" s="2"/>
      <c r="S19" s="598"/>
      <c r="T19" s="493"/>
      <c r="U19" s="493"/>
      <c r="V19" s="493"/>
      <c r="W19" s="519"/>
      <c r="X19" s="230"/>
      <c r="Y19" s="518"/>
      <c r="Z19" s="518"/>
      <c r="AA19" s="517"/>
      <c r="AB19" s="493"/>
    </row>
    <row r="20" spans="2:28" ht="12.75" customHeight="1" thickBot="1">
      <c r="B20" s="24"/>
      <c r="D20" s="10" t="s">
        <v>66</v>
      </c>
      <c r="E20" t="s">
        <v>0</v>
      </c>
      <c r="F20" t="s">
        <v>0</v>
      </c>
      <c r="G20" s="9"/>
      <c r="K20" s="27"/>
      <c r="M20" s="27"/>
      <c r="N20" s="659"/>
      <c r="O20" s="659"/>
      <c r="P20" s="521"/>
      <c r="Q20" s="660"/>
      <c r="R20" s="660"/>
      <c r="S20" s="520"/>
      <c r="U20" s="27"/>
      <c r="V20" s="27"/>
      <c r="W20" s="519"/>
      <c r="X20" s="518"/>
      <c r="Y20" s="518"/>
      <c r="Z20" s="518"/>
      <c r="AA20" s="517"/>
      <c r="AB20" s="493"/>
    </row>
    <row r="21" spans="2:28" ht="20.100000000000001" customHeight="1" thickBot="1">
      <c r="B21" s="8"/>
      <c r="C21" s="8"/>
      <c r="D21" s="10" t="s">
        <v>70</v>
      </c>
      <c r="E21" s="658"/>
      <c r="F21" s="658"/>
      <c r="G21" s="658"/>
      <c r="H21" s="658"/>
      <c r="I21" s="658"/>
      <c r="K21" s="724" t="s">
        <v>88</v>
      </c>
      <c r="L21" s="725"/>
      <c r="M21" s="725"/>
      <c r="N21" s="725"/>
      <c r="O21" s="725"/>
      <c r="P21" s="725"/>
      <c r="Q21" s="725"/>
      <c r="R21" s="725"/>
      <c r="S21" s="725"/>
      <c r="T21" s="725"/>
      <c r="U21" s="725"/>
      <c r="V21" s="725"/>
      <c r="W21" s="725"/>
      <c r="X21" s="725"/>
      <c r="Y21" s="725"/>
      <c r="Z21" s="725"/>
      <c r="AA21" s="725"/>
      <c r="AB21" s="726"/>
    </row>
    <row r="22" spans="2:28" ht="27.95" customHeight="1" thickBot="1">
      <c r="B22" s="7"/>
      <c r="C22" s="7"/>
      <c r="G22" s="9"/>
      <c r="K22" s="480" t="s">
        <v>18</v>
      </c>
      <c r="L22" s="481" t="s">
        <v>688</v>
      </c>
      <c r="M22" s="482" t="s">
        <v>19</v>
      </c>
      <c r="N22" s="721" t="s">
        <v>20</v>
      </c>
      <c r="O22" s="722"/>
      <c r="P22" s="721" t="s">
        <v>687</v>
      </c>
      <c r="Q22" s="723"/>
      <c r="R22" s="722"/>
      <c r="S22" s="484" t="s">
        <v>21</v>
      </c>
      <c r="T22" s="485" t="s">
        <v>676</v>
      </c>
      <c r="U22" s="499" t="s">
        <v>666</v>
      </c>
      <c r="V22" s="486" t="s">
        <v>667</v>
      </c>
      <c r="W22" s="487" t="s">
        <v>674</v>
      </c>
      <c r="X22" s="502" t="s">
        <v>675</v>
      </c>
      <c r="Y22" s="498" t="s">
        <v>689</v>
      </c>
      <c r="Z22" s="496" t="s">
        <v>675</v>
      </c>
      <c r="AA22" s="497" t="s">
        <v>897</v>
      </c>
      <c r="AB22" s="497" t="s">
        <v>898</v>
      </c>
    </row>
    <row r="23" spans="2:28" ht="15" customHeight="1">
      <c r="B23" s="7"/>
      <c r="C23" s="7"/>
      <c r="G23" s="9"/>
      <c r="K23" s="483"/>
      <c r="L23" s="501" t="s">
        <v>23</v>
      </c>
      <c r="M23" s="500" t="s">
        <v>24</v>
      </c>
      <c r="N23" s="719" t="s">
        <v>25</v>
      </c>
      <c r="O23" s="720"/>
      <c r="P23" s="569">
        <v>26768</v>
      </c>
      <c r="Q23" s="717" t="s">
        <v>26</v>
      </c>
      <c r="R23" s="718"/>
      <c r="S23" s="570" t="s">
        <v>866</v>
      </c>
      <c r="T23" s="500" t="s">
        <v>89</v>
      </c>
      <c r="U23" s="138" t="s">
        <v>867</v>
      </c>
      <c r="V23" s="138" t="s">
        <v>90</v>
      </c>
      <c r="W23" s="405" t="s">
        <v>677</v>
      </c>
      <c r="X23" s="571" t="s">
        <v>753</v>
      </c>
      <c r="Y23" s="572" t="s">
        <v>860</v>
      </c>
      <c r="Z23" s="573" t="s">
        <v>861</v>
      </c>
      <c r="AA23" s="574">
        <v>45894</v>
      </c>
      <c r="AB23" s="575" t="s">
        <v>634</v>
      </c>
    </row>
    <row r="24" spans="2:28" ht="15" customHeight="1">
      <c r="B24" s="26"/>
      <c r="C24" s="7"/>
      <c r="G24" s="408"/>
      <c r="K24" s="473"/>
      <c r="L24" s="400" t="s">
        <v>91</v>
      </c>
      <c r="M24" s="12" t="s">
        <v>24</v>
      </c>
      <c r="N24" s="644" t="s">
        <v>25</v>
      </c>
      <c r="O24" s="645"/>
      <c r="P24" s="419" t="s">
        <v>92</v>
      </c>
      <c r="Q24" s="631" t="s">
        <v>93</v>
      </c>
      <c r="R24" s="632"/>
      <c r="S24" s="421" t="s">
        <v>668</v>
      </c>
      <c r="T24" s="12" t="s">
        <v>27</v>
      </c>
      <c r="U24" s="12" t="s">
        <v>28</v>
      </c>
      <c r="V24" s="12" t="s">
        <v>29</v>
      </c>
      <c r="W24" s="405" t="s">
        <v>699</v>
      </c>
      <c r="X24" s="555" t="s">
        <v>700</v>
      </c>
      <c r="Y24" s="405" t="s">
        <v>864</v>
      </c>
      <c r="Z24" s="555" t="s">
        <v>865</v>
      </c>
      <c r="AA24" s="503">
        <v>46006</v>
      </c>
      <c r="AB24" s="504" t="s">
        <v>907</v>
      </c>
    </row>
    <row r="25" spans="2:28" ht="15" customHeight="1">
      <c r="B25" s="26"/>
      <c r="C25" s="7"/>
      <c r="G25" s="9"/>
      <c r="K25" s="576"/>
      <c r="L25" s="400" t="s">
        <v>94</v>
      </c>
      <c r="M25" s="12" t="s">
        <v>24</v>
      </c>
      <c r="N25" s="629" t="s">
        <v>38</v>
      </c>
      <c r="O25" s="630"/>
      <c r="P25" s="419">
        <v>31731</v>
      </c>
      <c r="Q25" s="631" t="s">
        <v>95</v>
      </c>
      <c r="R25" s="632"/>
      <c r="S25" s="421" t="s">
        <v>96</v>
      </c>
      <c r="T25" s="12" t="s">
        <v>97</v>
      </c>
      <c r="U25" s="12" t="s">
        <v>98</v>
      </c>
      <c r="V25" s="12" t="s">
        <v>857</v>
      </c>
      <c r="W25" s="577" t="s">
        <v>744</v>
      </c>
      <c r="X25" s="577" t="s">
        <v>745</v>
      </c>
      <c r="Y25" s="578" t="s">
        <v>709</v>
      </c>
      <c r="Z25" s="579"/>
      <c r="AA25" s="562">
        <v>45886</v>
      </c>
      <c r="AB25" s="558" t="s">
        <v>634</v>
      </c>
    </row>
    <row r="26" spans="2:28" ht="15" customHeight="1">
      <c r="B26" s="26"/>
      <c r="C26" s="7"/>
      <c r="K26" s="473"/>
      <c r="L26" s="400" t="s">
        <v>30</v>
      </c>
      <c r="M26" s="12" t="s">
        <v>31</v>
      </c>
      <c r="N26" s="644" t="s">
        <v>25</v>
      </c>
      <c r="O26" s="645"/>
      <c r="P26" s="419" t="s">
        <v>32</v>
      </c>
      <c r="Q26" s="631" t="s">
        <v>33</v>
      </c>
      <c r="R26" s="632"/>
      <c r="S26" s="421" t="s">
        <v>672</v>
      </c>
      <c r="T26" s="12" t="s">
        <v>34</v>
      </c>
      <c r="U26" s="12" t="s">
        <v>673</v>
      </c>
      <c r="V26" s="12" t="s">
        <v>35</v>
      </c>
      <c r="W26" s="395" t="s">
        <v>690</v>
      </c>
      <c r="X26" s="254" t="s">
        <v>691</v>
      </c>
      <c r="Y26" s="254" t="s">
        <v>709</v>
      </c>
      <c r="Z26" s="556"/>
      <c r="AA26" s="512">
        <v>45997</v>
      </c>
      <c r="AB26" s="505" t="s">
        <v>915</v>
      </c>
    </row>
    <row r="27" spans="2:28" s="618" customFormat="1" ht="15" customHeight="1">
      <c r="B27" s="7"/>
      <c r="C27" s="7"/>
      <c r="K27" s="473"/>
      <c r="L27" s="400" t="s">
        <v>647</v>
      </c>
      <c r="M27" s="12" t="s">
        <v>31</v>
      </c>
      <c r="N27" s="629" t="s">
        <v>52</v>
      </c>
      <c r="O27" s="630"/>
      <c r="P27" s="419">
        <v>31920</v>
      </c>
      <c r="Q27" s="638" t="s">
        <v>653</v>
      </c>
      <c r="R27" s="639"/>
      <c r="S27" s="421" t="s">
        <v>637</v>
      </c>
      <c r="T27" s="12" t="s">
        <v>638</v>
      </c>
      <c r="U27" s="12" t="s">
        <v>639</v>
      </c>
      <c r="V27" s="12" t="s">
        <v>640</v>
      </c>
      <c r="W27" s="395" t="s">
        <v>678</v>
      </c>
      <c r="X27" s="491" t="s">
        <v>701</v>
      </c>
      <c r="Y27" s="395" t="s">
        <v>715</v>
      </c>
      <c r="Z27" s="491" t="s">
        <v>710</v>
      </c>
      <c r="AA27" s="557">
        <v>46005</v>
      </c>
      <c r="AB27" s="558" t="s">
        <v>907</v>
      </c>
    </row>
    <row r="28" spans="2:28" ht="15" customHeight="1">
      <c r="B28" s="7"/>
      <c r="C28" s="7"/>
      <c r="D28" s="10"/>
      <c r="K28" s="473"/>
      <c r="L28" s="467" t="s">
        <v>806</v>
      </c>
      <c r="M28" s="468" t="s">
        <v>37</v>
      </c>
      <c r="N28" s="629" t="s">
        <v>38</v>
      </c>
      <c r="O28" s="630"/>
      <c r="P28" s="471">
        <v>33186</v>
      </c>
      <c r="Q28" s="631" t="s">
        <v>99</v>
      </c>
      <c r="R28" s="632"/>
      <c r="S28" s="472" t="s">
        <v>807</v>
      </c>
      <c r="T28" s="468" t="s">
        <v>808</v>
      </c>
      <c r="U28" s="468" t="s">
        <v>809</v>
      </c>
      <c r="V28" s="468" t="s">
        <v>810</v>
      </c>
      <c r="W28" s="470" t="s">
        <v>722</v>
      </c>
      <c r="X28" s="429"/>
      <c r="Y28" s="469" t="s">
        <v>709</v>
      </c>
      <c r="Z28" s="556"/>
      <c r="AA28" s="512">
        <v>46069</v>
      </c>
      <c r="AB28" s="592" t="s">
        <v>915</v>
      </c>
    </row>
    <row r="29" spans="2:28" s="28" customFormat="1" ht="15" customHeight="1">
      <c r="B29" s="26"/>
      <c r="C29" s="26"/>
      <c r="K29" s="473"/>
      <c r="L29" s="400" t="s">
        <v>868</v>
      </c>
      <c r="M29" s="12" t="s">
        <v>40</v>
      </c>
      <c r="N29" s="629" t="s">
        <v>38</v>
      </c>
      <c r="O29" s="630"/>
      <c r="P29" s="419">
        <v>21788</v>
      </c>
      <c r="Q29" s="638" t="s">
        <v>99</v>
      </c>
      <c r="R29" s="639"/>
      <c r="S29" s="12" t="s">
        <v>100</v>
      </c>
      <c r="T29" s="421" t="s">
        <v>101</v>
      </c>
      <c r="U29" s="12" t="s">
        <v>102</v>
      </c>
      <c r="V29" s="12" t="s">
        <v>738</v>
      </c>
      <c r="W29" s="508" t="s">
        <v>856</v>
      </c>
      <c r="X29" s="559" t="s">
        <v>862</v>
      </c>
      <c r="Y29" s="508" t="s">
        <v>709</v>
      </c>
      <c r="Z29" s="560"/>
      <c r="AA29" s="561">
        <v>45871</v>
      </c>
      <c r="AB29" s="558" t="s">
        <v>634</v>
      </c>
    </row>
    <row r="30" spans="2:28" s="28" customFormat="1" ht="15" customHeight="1">
      <c r="B30" s="26"/>
      <c r="C30" s="26"/>
      <c r="K30" s="580"/>
      <c r="L30" s="400" t="s">
        <v>39</v>
      </c>
      <c r="M30" s="12" t="s">
        <v>40</v>
      </c>
      <c r="N30" s="644" t="s">
        <v>25</v>
      </c>
      <c r="O30" s="645"/>
      <c r="P30" s="419">
        <v>25921</v>
      </c>
      <c r="Q30" s="636" t="s">
        <v>665</v>
      </c>
      <c r="R30" s="637"/>
      <c r="S30" s="12">
        <v>760554340</v>
      </c>
      <c r="T30" s="12" t="s">
        <v>41</v>
      </c>
      <c r="U30" s="396" t="s">
        <v>42</v>
      </c>
      <c r="V30" s="12" t="s">
        <v>43</v>
      </c>
      <c r="W30" s="395" t="s">
        <v>679</v>
      </c>
      <c r="X30" s="429" t="s">
        <v>707</v>
      </c>
      <c r="Y30" s="563" t="s">
        <v>716</v>
      </c>
      <c r="Z30" s="564" t="s">
        <v>708</v>
      </c>
      <c r="AA30" s="508"/>
      <c r="AB30" s="505"/>
    </row>
    <row r="31" spans="2:28" s="28" customFormat="1" ht="15" customHeight="1">
      <c r="B31" s="26"/>
      <c r="D31" s="381"/>
      <c r="K31" s="580"/>
      <c r="L31" s="400" t="s">
        <v>670</v>
      </c>
      <c r="M31" s="12" t="s">
        <v>40</v>
      </c>
      <c r="N31" s="629" t="s">
        <v>38</v>
      </c>
      <c r="O31" s="630"/>
      <c r="P31" s="419" t="s">
        <v>46</v>
      </c>
      <c r="Q31" s="631" t="s">
        <v>671</v>
      </c>
      <c r="R31" s="632"/>
      <c r="S31" s="12" t="s">
        <v>47</v>
      </c>
      <c r="T31" s="12" t="s">
        <v>48</v>
      </c>
      <c r="U31" s="396" t="s">
        <v>49</v>
      </c>
      <c r="V31" s="396" t="s">
        <v>669</v>
      </c>
      <c r="W31" s="395" t="s">
        <v>723</v>
      </c>
      <c r="X31" s="429" t="s">
        <v>724</v>
      </c>
      <c r="Y31" s="254" t="s">
        <v>709</v>
      </c>
      <c r="Z31" s="556"/>
      <c r="AA31" s="511">
        <v>46006</v>
      </c>
      <c r="AB31" s="505" t="s">
        <v>907</v>
      </c>
    </row>
    <row r="32" spans="2:28" ht="15" customHeight="1">
      <c r="B32" s="7"/>
      <c r="D32" s="382"/>
      <c r="K32" s="473"/>
      <c r="L32" s="400" t="s">
        <v>103</v>
      </c>
      <c r="M32" s="12" t="s">
        <v>45</v>
      </c>
      <c r="N32" s="648" t="s">
        <v>25</v>
      </c>
      <c r="O32" s="649"/>
      <c r="P32" s="419" t="s">
        <v>104</v>
      </c>
      <c r="Q32" s="631" t="s">
        <v>105</v>
      </c>
      <c r="R32" s="632"/>
      <c r="S32" s="12">
        <v>771749004</v>
      </c>
      <c r="T32" s="12" t="s">
        <v>106</v>
      </c>
      <c r="U32" s="396" t="s">
        <v>636</v>
      </c>
      <c r="V32" s="396" t="s">
        <v>107</v>
      </c>
      <c r="W32" s="254" t="s">
        <v>749</v>
      </c>
      <c r="X32" s="254" t="s">
        <v>750</v>
      </c>
      <c r="Y32" s="563" t="s">
        <v>751</v>
      </c>
      <c r="Z32" s="564" t="s">
        <v>752</v>
      </c>
      <c r="AA32" s="562">
        <v>45886</v>
      </c>
      <c r="AB32" s="558" t="s">
        <v>634</v>
      </c>
    </row>
    <row r="33" spans="2:28" ht="15" customHeight="1">
      <c r="B33" s="7"/>
      <c r="D33" s="382"/>
      <c r="K33" s="473"/>
      <c r="L33" s="467" t="s">
        <v>936</v>
      </c>
      <c r="M33" s="12" t="s">
        <v>45</v>
      </c>
      <c r="N33" s="648" t="s">
        <v>38</v>
      </c>
      <c r="O33" s="649"/>
      <c r="P33" s="471">
        <v>31151</v>
      </c>
      <c r="Q33" s="644" t="s">
        <v>38</v>
      </c>
      <c r="R33" s="645"/>
      <c r="S33" s="468" t="s">
        <v>937</v>
      </c>
      <c r="T33" s="468" t="s">
        <v>938</v>
      </c>
      <c r="U33" s="589" t="s">
        <v>939</v>
      </c>
      <c r="V33" s="589" t="s">
        <v>940</v>
      </c>
      <c r="W33" s="470" t="s">
        <v>722</v>
      </c>
      <c r="X33" s="508"/>
      <c r="Y33" s="469" t="s">
        <v>709</v>
      </c>
      <c r="Z33" s="556"/>
      <c r="AA33" s="562">
        <v>46059</v>
      </c>
      <c r="AB33" s="558" t="s">
        <v>941</v>
      </c>
    </row>
    <row r="34" spans="2:28" ht="15" customHeight="1">
      <c r="B34" s="30"/>
      <c r="D34" s="22"/>
      <c r="K34" s="402"/>
      <c r="L34" s="400" t="s">
        <v>150</v>
      </c>
      <c r="M34" s="12" t="s">
        <v>51</v>
      </c>
      <c r="N34" s="629" t="s">
        <v>52</v>
      </c>
      <c r="O34" s="630"/>
      <c r="P34" s="419" t="s">
        <v>151</v>
      </c>
      <c r="Q34" s="636" t="s">
        <v>152</v>
      </c>
      <c r="R34" s="637"/>
      <c r="S34" s="421" t="s">
        <v>153</v>
      </c>
      <c r="T34" s="12" t="s">
        <v>154</v>
      </c>
      <c r="U34" s="12" t="s">
        <v>155</v>
      </c>
      <c r="V34" s="396" t="s">
        <v>156</v>
      </c>
      <c r="W34" s="254"/>
      <c r="X34" s="254"/>
      <c r="Y34" s="254"/>
      <c r="Z34" s="429"/>
      <c r="AA34" s="508"/>
      <c r="AB34" s="505"/>
    </row>
    <row r="35" spans="2:28" ht="15" customHeight="1">
      <c r="B35" s="30"/>
      <c r="D35" s="22"/>
      <c r="K35" s="402"/>
      <c r="L35" s="400" t="s">
        <v>157</v>
      </c>
      <c r="M35" s="12" t="s">
        <v>51</v>
      </c>
      <c r="N35" s="629" t="s">
        <v>52</v>
      </c>
      <c r="O35" s="630"/>
      <c r="P35" s="419" t="s">
        <v>158</v>
      </c>
      <c r="Q35" s="631" t="s">
        <v>159</v>
      </c>
      <c r="R35" s="632"/>
      <c r="S35" s="421" t="s">
        <v>160</v>
      </c>
      <c r="T35" s="12" t="s">
        <v>161</v>
      </c>
      <c r="U35" s="12" t="s">
        <v>162</v>
      </c>
      <c r="V35" s="12" t="s">
        <v>163</v>
      </c>
      <c r="W35" s="254"/>
      <c r="X35" s="254"/>
      <c r="Y35" s="254"/>
      <c r="Z35" s="429"/>
      <c r="AA35" s="508"/>
      <c r="AB35" s="505"/>
    </row>
    <row r="36" spans="2:28" ht="15" customHeight="1">
      <c r="B36" s="30"/>
      <c r="D36" s="22"/>
      <c r="K36" s="402"/>
      <c r="L36" s="400" t="s">
        <v>164</v>
      </c>
      <c r="M36" s="12" t="s">
        <v>51</v>
      </c>
      <c r="N36" s="629" t="s">
        <v>52</v>
      </c>
      <c r="O36" s="630"/>
      <c r="P36" s="419" t="s">
        <v>165</v>
      </c>
      <c r="Q36" s="636" t="s">
        <v>166</v>
      </c>
      <c r="R36" s="637"/>
      <c r="S36" s="421" t="s">
        <v>167</v>
      </c>
      <c r="T36" s="12" t="s">
        <v>168</v>
      </c>
      <c r="U36" s="12" t="s">
        <v>169</v>
      </c>
      <c r="V36" s="396" t="s">
        <v>170</v>
      </c>
      <c r="W36" s="254"/>
      <c r="X36" s="254"/>
      <c r="Y36" s="254"/>
      <c r="Z36" s="429"/>
      <c r="AA36" s="508"/>
      <c r="AB36" s="505"/>
    </row>
    <row r="37" spans="2:28" ht="15" customHeight="1">
      <c r="B37" s="30"/>
      <c r="D37" s="22"/>
      <c r="K37" s="402"/>
      <c r="L37" s="400" t="s">
        <v>171</v>
      </c>
      <c r="M37" s="12" t="s">
        <v>51</v>
      </c>
      <c r="N37" s="629" t="s">
        <v>52</v>
      </c>
      <c r="O37" s="630"/>
      <c r="P37" s="419" t="s">
        <v>172</v>
      </c>
      <c r="Q37" s="631" t="s">
        <v>173</v>
      </c>
      <c r="R37" s="632"/>
      <c r="S37" s="421" t="s">
        <v>174</v>
      </c>
      <c r="T37" s="12" t="s">
        <v>175</v>
      </c>
      <c r="U37" s="12" t="s">
        <v>176</v>
      </c>
      <c r="V37" s="12" t="s">
        <v>177</v>
      </c>
      <c r="W37" s="254"/>
      <c r="X37" s="254"/>
      <c r="Y37" s="254"/>
      <c r="Z37" s="429"/>
      <c r="AA37" s="508"/>
      <c r="AB37" s="505"/>
    </row>
    <row r="38" spans="2:28" ht="15" customHeight="1">
      <c r="B38" s="30"/>
      <c r="D38" s="22"/>
      <c r="K38" s="402"/>
      <c r="L38" s="400" t="s">
        <v>178</v>
      </c>
      <c r="M38" s="12" t="s">
        <v>51</v>
      </c>
      <c r="N38" s="629" t="s">
        <v>52</v>
      </c>
      <c r="O38" s="630"/>
      <c r="P38" s="419" t="s">
        <v>179</v>
      </c>
      <c r="Q38" s="636" t="s">
        <v>180</v>
      </c>
      <c r="R38" s="637"/>
      <c r="S38" s="12" t="s">
        <v>181</v>
      </c>
      <c r="T38" s="12" t="s">
        <v>182</v>
      </c>
      <c r="U38" s="12" t="s">
        <v>183</v>
      </c>
      <c r="V38" s="12" t="s">
        <v>184</v>
      </c>
      <c r="W38" s="578"/>
      <c r="X38" s="578"/>
      <c r="Y38" s="578"/>
      <c r="Z38" s="573"/>
      <c r="AA38" s="507"/>
      <c r="AB38" s="504"/>
    </row>
    <row r="39" spans="2:28" ht="15" customHeight="1">
      <c r="B39" s="30"/>
      <c r="D39" s="22"/>
      <c r="K39" s="402"/>
      <c r="L39" s="400" t="s">
        <v>185</v>
      </c>
      <c r="M39" s="12" t="s">
        <v>51</v>
      </c>
      <c r="N39" s="629" t="s">
        <v>52</v>
      </c>
      <c r="O39" s="630"/>
      <c r="P39" s="419" t="s">
        <v>186</v>
      </c>
      <c r="Q39" s="631" t="s">
        <v>187</v>
      </c>
      <c r="R39" s="632"/>
      <c r="S39" s="421" t="s">
        <v>188</v>
      </c>
      <c r="T39" s="12" t="s">
        <v>189</v>
      </c>
      <c r="U39" s="12" t="s">
        <v>190</v>
      </c>
      <c r="V39" s="12" t="s">
        <v>191</v>
      </c>
      <c r="W39" s="578"/>
      <c r="X39" s="578"/>
      <c r="Y39" s="578"/>
      <c r="Z39" s="573"/>
      <c r="AA39" s="507"/>
      <c r="AB39" s="504"/>
    </row>
    <row r="40" spans="2:28" ht="15" customHeight="1">
      <c r="B40" s="30"/>
      <c r="D40" s="30"/>
      <c r="G40" s="28"/>
      <c r="K40" s="402"/>
      <c r="L40" s="400" t="s">
        <v>192</v>
      </c>
      <c r="M40" s="12" t="s">
        <v>51</v>
      </c>
      <c r="N40" s="629" t="s">
        <v>52</v>
      </c>
      <c r="O40" s="630"/>
      <c r="P40" s="419" t="s">
        <v>193</v>
      </c>
      <c r="Q40" s="636" t="s">
        <v>194</v>
      </c>
      <c r="R40" s="637"/>
      <c r="S40" s="421" t="s">
        <v>195</v>
      </c>
      <c r="T40" s="12" t="s">
        <v>196</v>
      </c>
      <c r="U40" s="12" t="s">
        <v>197</v>
      </c>
      <c r="V40" s="12" t="s">
        <v>198</v>
      </c>
      <c r="W40" s="254"/>
      <c r="X40" s="254"/>
      <c r="Y40" s="254"/>
      <c r="Z40" s="429"/>
      <c r="AA40" s="508"/>
      <c r="AB40" s="505"/>
    </row>
    <row r="41" spans="2:28" ht="15" customHeight="1">
      <c r="B41" s="30"/>
      <c r="D41" s="30"/>
      <c r="G41" s="28"/>
      <c r="K41" s="402"/>
      <c r="L41" s="400" t="s">
        <v>199</v>
      </c>
      <c r="M41" s="12" t="s">
        <v>51</v>
      </c>
      <c r="N41" s="629" t="s">
        <v>52</v>
      </c>
      <c r="O41" s="630"/>
      <c r="P41" s="419" t="s">
        <v>200</v>
      </c>
      <c r="Q41" s="636" t="s">
        <v>201</v>
      </c>
      <c r="R41" s="637"/>
      <c r="S41" s="421" t="s">
        <v>202</v>
      </c>
      <c r="T41" s="12" t="s">
        <v>53</v>
      </c>
      <c r="U41" s="12" t="s">
        <v>54</v>
      </c>
      <c r="V41" s="12" t="s">
        <v>55</v>
      </c>
      <c r="W41" s="254"/>
      <c r="X41" s="254"/>
      <c r="Y41" s="254"/>
      <c r="Z41" s="429"/>
      <c r="AA41" s="508"/>
      <c r="AB41" s="505"/>
    </row>
    <row r="42" spans="2:28" ht="15" customHeight="1">
      <c r="B42" s="30"/>
      <c r="D42" s="30"/>
      <c r="G42" s="28"/>
      <c r="K42" s="402"/>
      <c r="L42" s="400" t="s">
        <v>203</v>
      </c>
      <c r="M42" s="12" t="s">
        <v>51</v>
      </c>
      <c r="N42" s="629" t="s">
        <v>52</v>
      </c>
      <c r="O42" s="630"/>
      <c r="P42" s="419" t="s">
        <v>204</v>
      </c>
      <c r="Q42" s="636" t="s">
        <v>205</v>
      </c>
      <c r="R42" s="637"/>
      <c r="S42" s="421" t="s">
        <v>206</v>
      </c>
      <c r="T42" s="12" t="s">
        <v>207</v>
      </c>
      <c r="U42" s="12" t="s">
        <v>208</v>
      </c>
      <c r="V42" s="12" t="s">
        <v>128</v>
      </c>
      <c r="W42" s="254"/>
      <c r="X42" s="254"/>
      <c r="Y42" s="254"/>
      <c r="Z42" s="429"/>
      <c r="AA42" s="508"/>
      <c r="AB42" s="505"/>
    </row>
    <row r="43" spans="2:28" ht="15" customHeight="1">
      <c r="B43" s="30"/>
      <c r="D43" s="30"/>
      <c r="G43" s="28"/>
      <c r="K43" s="402"/>
      <c r="L43" s="400" t="s">
        <v>56</v>
      </c>
      <c r="M43" s="12" t="s">
        <v>51</v>
      </c>
      <c r="N43" s="629" t="s">
        <v>52</v>
      </c>
      <c r="O43" s="630"/>
      <c r="P43" s="419" t="s">
        <v>57</v>
      </c>
      <c r="Q43" s="631" t="s">
        <v>58</v>
      </c>
      <c r="R43" s="632"/>
      <c r="S43" s="421" t="s">
        <v>59</v>
      </c>
      <c r="T43" s="12" t="s">
        <v>60</v>
      </c>
      <c r="U43" s="12" t="s">
        <v>61</v>
      </c>
      <c r="V43" s="12" t="s">
        <v>62</v>
      </c>
      <c r="W43" s="254"/>
      <c r="X43" s="254"/>
      <c r="Y43" s="254"/>
      <c r="Z43" s="429"/>
      <c r="AA43" s="508"/>
      <c r="AB43" s="505"/>
    </row>
    <row r="44" spans="2:28" s="28" customFormat="1" ht="15" customHeight="1">
      <c r="B44" s="32"/>
      <c r="D44" s="32"/>
      <c r="K44" s="402"/>
      <c r="L44" s="400" t="s">
        <v>618</v>
      </c>
      <c r="M44" s="12" t="s">
        <v>51</v>
      </c>
      <c r="N44" s="629" t="s">
        <v>52</v>
      </c>
      <c r="O44" s="630"/>
      <c r="P44" s="419">
        <v>33264</v>
      </c>
      <c r="Q44" s="631" t="s">
        <v>652</v>
      </c>
      <c r="R44" s="632"/>
      <c r="S44" s="421" t="s">
        <v>619</v>
      </c>
      <c r="T44" s="12" t="s">
        <v>60</v>
      </c>
      <c r="U44" s="12" t="s">
        <v>61</v>
      </c>
      <c r="V44" s="12" t="s">
        <v>62</v>
      </c>
      <c r="W44" s="254"/>
      <c r="X44" s="254"/>
      <c r="Y44" s="254"/>
      <c r="Z44" s="429"/>
      <c r="AA44" s="508"/>
      <c r="AB44" s="505"/>
    </row>
    <row r="45" spans="2:28" s="28" customFormat="1" ht="15" customHeight="1">
      <c r="B45" s="32"/>
      <c r="D45" s="32"/>
      <c r="K45" s="402"/>
      <c r="L45" s="400" t="s">
        <v>261</v>
      </c>
      <c r="M45" s="12" t="s">
        <v>51</v>
      </c>
      <c r="N45" s="629" t="s">
        <v>52</v>
      </c>
      <c r="O45" s="630"/>
      <c r="P45" s="419" t="s">
        <v>262</v>
      </c>
      <c r="Q45" s="631" t="s">
        <v>263</v>
      </c>
      <c r="R45" s="632"/>
      <c r="S45" s="421" t="s">
        <v>264</v>
      </c>
      <c r="T45" s="12" t="s">
        <v>265</v>
      </c>
      <c r="U45" s="12" t="s">
        <v>266</v>
      </c>
      <c r="V45" s="12" t="s">
        <v>267</v>
      </c>
      <c r="W45" s="581" t="s">
        <v>680</v>
      </c>
      <c r="X45" s="582" t="s">
        <v>706</v>
      </c>
      <c r="Y45" s="254" t="s">
        <v>717</v>
      </c>
      <c r="Z45" s="429" t="s">
        <v>711</v>
      </c>
      <c r="AA45" s="508"/>
      <c r="AB45" s="505"/>
    </row>
    <row r="46" spans="2:28" ht="15" customHeight="1">
      <c r="B46" s="30"/>
      <c r="K46" s="402"/>
      <c r="L46" s="467" t="s">
        <v>811</v>
      </c>
      <c r="M46" s="468" t="s">
        <v>51</v>
      </c>
      <c r="N46" s="629" t="s">
        <v>52</v>
      </c>
      <c r="O46" s="630"/>
      <c r="P46" s="471">
        <v>31614</v>
      </c>
      <c r="Q46" s="636" t="s">
        <v>812</v>
      </c>
      <c r="R46" s="637"/>
      <c r="S46" s="472" t="s">
        <v>813</v>
      </c>
      <c r="T46" s="468" t="s">
        <v>814</v>
      </c>
      <c r="U46" s="468" t="s">
        <v>815</v>
      </c>
      <c r="V46" s="468" t="s">
        <v>816</v>
      </c>
      <c r="W46" s="469" t="s">
        <v>817</v>
      </c>
      <c r="X46" s="508" t="s">
        <v>818</v>
      </c>
      <c r="Y46" s="585" t="s">
        <v>819</v>
      </c>
      <c r="Z46" s="564" t="s">
        <v>820</v>
      </c>
      <c r="AA46" s="508"/>
      <c r="AB46" s="505"/>
    </row>
    <row r="47" spans="2:28" ht="15" customHeight="1">
      <c r="B47" s="30"/>
      <c r="K47" s="402"/>
      <c r="L47" s="400" t="s">
        <v>790</v>
      </c>
      <c r="M47" s="12" t="s">
        <v>51</v>
      </c>
      <c r="N47" s="629" t="s">
        <v>52</v>
      </c>
      <c r="O47" s="630"/>
      <c r="P47" s="419">
        <v>32229</v>
      </c>
      <c r="Q47" s="636" t="s">
        <v>797</v>
      </c>
      <c r="R47" s="637"/>
      <c r="S47" s="421" t="s">
        <v>791</v>
      </c>
      <c r="T47" s="12" t="s">
        <v>792</v>
      </c>
      <c r="U47" s="12" t="s">
        <v>793</v>
      </c>
      <c r="V47" s="12" t="s">
        <v>794</v>
      </c>
      <c r="W47" s="395" t="s">
        <v>798</v>
      </c>
      <c r="X47" s="395" t="s">
        <v>799</v>
      </c>
      <c r="Y47" s="395" t="s">
        <v>800</v>
      </c>
      <c r="Z47" s="469" t="s">
        <v>801</v>
      </c>
      <c r="AA47" s="562">
        <v>45797</v>
      </c>
      <c r="AB47" s="558" t="s">
        <v>634</v>
      </c>
    </row>
    <row r="48" spans="2:28" ht="15" customHeight="1">
      <c r="B48" s="30"/>
      <c r="K48" s="402"/>
      <c r="L48" s="400" t="s">
        <v>209</v>
      </c>
      <c r="M48" s="12" t="s">
        <v>269</v>
      </c>
      <c r="N48" s="629" t="s">
        <v>52</v>
      </c>
      <c r="O48" s="630"/>
      <c r="P48" s="419" t="s">
        <v>210</v>
      </c>
      <c r="Q48" s="636" t="s">
        <v>211</v>
      </c>
      <c r="R48" s="637"/>
      <c r="S48" s="421" t="s">
        <v>212</v>
      </c>
      <c r="T48" s="12" t="s">
        <v>213</v>
      </c>
      <c r="U48" s="12" t="s">
        <v>214</v>
      </c>
      <c r="V48" s="396" t="s">
        <v>215</v>
      </c>
      <c r="W48" s="254"/>
      <c r="X48" s="254"/>
      <c r="Y48" s="254"/>
      <c r="Z48" s="429"/>
      <c r="AA48" s="508"/>
      <c r="AB48" s="505"/>
    </row>
    <row r="49" spans="2:28" ht="15" customHeight="1">
      <c r="B49" s="30"/>
      <c r="K49" s="402"/>
      <c r="L49" s="400" t="s">
        <v>216</v>
      </c>
      <c r="M49" s="12" t="s">
        <v>269</v>
      </c>
      <c r="N49" s="629" t="s">
        <v>52</v>
      </c>
      <c r="O49" s="630"/>
      <c r="P49" s="419" t="s">
        <v>217</v>
      </c>
      <c r="Q49" s="636" t="s">
        <v>218</v>
      </c>
      <c r="R49" s="637"/>
      <c r="S49" s="12" t="s">
        <v>219</v>
      </c>
      <c r="T49" s="12" t="s">
        <v>67</v>
      </c>
      <c r="U49" s="12" t="s">
        <v>68</v>
      </c>
      <c r="V49" s="12" t="s">
        <v>69</v>
      </c>
      <c r="W49" s="254"/>
      <c r="X49" s="254"/>
      <c r="Y49" s="254"/>
      <c r="Z49" s="429"/>
      <c r="AA49" s="508"/>
      <c r="AB49" s="505"/>
    </row>
    <row r="50" spans="2:28" ht="15" customHeight="1">
      <c r="B50" s="30"/>
      <c r="K50" s="402"/>
      <c r="L50" s="400" t="s">
        <v>220</v>
      </c>
      <c r="M50" s="12" t="s">
        <v>269</v>
      </c>
      <c r="N50" s="629" t="s">
        <v>52</v>
      </c>
      <c r="O50" s="630"/>
      <c r="P50" s="419" t="s">
        <v>221</v>
      </c>
      <c r="Q50" s="636" t="s">
        <v>222</v>
      </c>
      <c r="R50" s="637"/>
      <c r="S50" s="12" t="s">
        <v>223</v>
      </c>
      <c r="T50" s="12" t="s">
        <v>224</v>
      </c>
      <c r="U50" s="12" t="s">
        <v>225</v>
      </c>
      <c r="V50" s="12" t="s">
        <v>226</v>
      </c>
      <c r="W50" s="254"/>
      <c r="X50" s="254"/>
      <c r="Y50" s="254"/>
      <c r="Z50" s="429"/>
      <c r="AA50" s="508"/>
      <c r="AB50" s="505"/>
    </row>
    <row r="51" spans="2:28" ht="15" customHeight="1">
      <c r="B51" s="30"/>
      <c r="K51" s="402"/>
      <c r="L51" s="400" t="s">
        <v>227</v>
      </c>
      <c r="M51" s="12" t="s">
        <v>269</v>
      </c>
      <c r="N51" s="629" t="s">
        <v>52</v>
      </c>
      <c r="O51" s="630"/>
      <c r="P51" s="419" t="s">
        <v>228</v>
      </c>
      <c r="Q51" s="636" t="s">
        <v>229</v>
      </c>
      <c r="R51" s="637"/>
      <c r="S51" s="12" t="s">
        <v>230</v>
      </c>
      <c r="T51" s="12" t="s">
        <v>63</v>
      </c>
      <c r="U51" s="12" t="s">
        <v>64</v>
      </c>
      <c r="V51" s="12" t="s">
        <v>65</v>
      </c>
      <c r="W51" s="254"/>
      <c r="X51" s="254"/>
      <c r="Y51" s="254"/>
      <c r="Z51" s="429"/>
      <c r="AA51" s="508"/>
      <c r="AB51" s="505"/>
    </row>
    <row r="52" spans="2:28" ht="15" customHeight="1">
      <c r="B52" s="30"/>
      <c r="K52" s="402"/>
      <c r="L52" s="400" t="s">
        <v>231</v>
      </c>
      <c r="M52" s="12" t="s">
        <v>269</v>
      </c>
      <c r="N52" s="629" t="s">
        <v>38</v>
      </c>
      <c r="O52" s="630"/>
      <c r="P52" s="419" t="s">
        <v>232</v>
      </c>
      <c r="Q52" s="631" t="s">
        <v>233</v>
      </c>
      <c r="R52" s="632"/>
      <c r="S52" s="421" t="s">
        <v>234</v>
      </c>
      <c r="T52" s="12" t="s">
        <v>235</v>
      </c>
      <c r="U52" s="12" t="s">
        <v>236</v>
      </c>
      <c r="V52" s="12" t="s">
        <v>237</v>
      </c>
      <c r="W52" s="578"/>
      <c r="X52" s="578"/>
      <c r="Y52" s="578"/>
      <c r="Z52" s="573"/>
      <c r="AA52" s="507"/>
      <c r="AB52" s="504"/>
    </row>
    <row r="53" spans="2:28" ht="15" customHeight="1">
      <c r="B53" s="30"/>
      <c r="K53" s="402"/>
      <c r="L53" s="400" t="s">
        <v>238</v>
      </c>
      <c r="M53" s="12" t="s">
        <v>269</v>
      </c>
      <c r="N53" s="629" t="s">
        <v>38</v>
      </c>
      <c r="O53" s="630"/>
      <c r="P53" s="419" t="s">
        <v>239</v>
      </c>
      <c r="Q53" s="631" t="s">
        <v>233</v>
      </c>
      <c r="R53" s="632"/>
      <c r="S53" s="421" t="s">
        <v>240</v>
      </c>
      <c r="T53" s="12" t="s">
        <v>241</v>
      </c>
      <c r="U53" s="12" t="s">
        <v>242</v>
      </c>
      <c r="V53" s="12" t="s">
        <v>243</v>
      </c>
      <c r="W53" s="578"/>
      <c r="X53" s="578"/>
      <c r="Y53" s="578"/>
      <c r="Z53" s="573"/>
      <c r="AA53" s="507"/>
      <c r="AB53" s="504"/>
    </row>
    <row r="54" spans="2:28" ht="15" customHeight="1">
      <c r="B54" s="30"/>
      <c r="K54" s="402"/>
      <c r="L54" s="400" t="s">
        <v>244</v>
      </c>
      <c r="M54" s="12" t="s">
        <v>269</v>
      </c>
      <c r="N54" s="629" t="s">
        <v>52</v>
      </c>
      <c r="O54" s="630"/>
      <c r="P54" s="419" t="s">
        <v>245</v>
      </c>
      <c r="Q54" s="631" t="s">
        <v>246</v>
      </c>
      <c r="R54" s="632"/>
      <c r="S54" s="421" t="s">
        <v>247</v>
      </c>
      <c r="T54" s="12" t="s">
        <v>248</v>
      </c>
      <c r="U54" s="12" t="s">
        <v>249</v>
      </c>
      <c r="V54" s="12" t="s">
        <v>250</v>
      </c>
      <c r="W54" s="578"/>
      <c r="X54" s="578"/>
      <c r="Y54" s="578"/>
      <c r="Z54" s="573"/>
      <c r="AA54" s="507"/>
      <c r="AB54" s="504"/>
    </row>
    <row r="55" spans="2:28" ht="15" customHeight="1">
      <c r="B55" s="30"/>
      <c r="K55" s="402"/>
      <c r="L55" s="400" t="s">
        <v>251</v>
      </c>
      <c r="M55" s="12" t="s">
        <v>269</v>
      </c>
      <c r="N55" s="629" t="s">
        <v>52</v>
      </c>
      <c r="O55" s="630"/>
      <c r="P55" s="419" t="s">
        <v>252</v>
      </c>
      <c r="Q55" s="631" t="s">
        <v>253</v>
      </c>
      <c r="R55" s="632"/>
      <c r="S55" s="421" t="s">
        <v>254</v>
      </c>
      <c r="T55" s="12" t="s">
        <v>255</v>
      </c>
      <c r="U55" s="12" t="s">
        <v>256</v>
      </c>
      <c r="V55" s="12" t="s">
        <v>257</v>
      </c>
      <c r="W55" s="578"/>
      <c r="X55" s="578"/>
      <c r="Y55" s="578"/>
      <c r="Z55" s="573"/>
      <c r="AA55" s="507"/>
      <c r="AB55" s="504"/>
    </row>
    <row r="56" spans="2:28" ht="15" customHeight="1">
      <c r="B56" s="30"/>
      <c r="D56" s="22"/>
      <c r="K56" s="402"/>
      <c r="L56" s="400" t="s">
        <v>261</v>
      </c>
      <c r="M56" s="12" t="s">
        <v>269</v>
      </c>
      <c r="N56" s="629" t="s">
        <v>52</v>
      </c>
      <c r="O56" s="630"/>
      <c r="P56" s="419" t="s">
        <v>262</v>
      </c>
      <c r="Q56" s="631" t="s">
        <v>263</v>
      </c>
      <c r="R56" s="632"/>
      <c r="S56" s="421" t="s">
        <v>264</v>
      </c>
      <c r="T56" s="12" t="s">
        <v>265</v>
      </c>
      <c r="U56" s="12" t="s">
        <v>266</v>
      </c>
      <c r="V56" s="12" t="s">
        <v>267</v>
      </c>
      <c r="W56" s="254"/>
      <c r="X56" s="254"/>
      <c r="Y56" s="254"/>
      <c r="Z56" s="429"/>
      <c r="AA56" s="508"/>
      <c r="AB56" s="505"/>
    </row>
    <row r="57" spans="2:28" s="28" customFormat="1" ht="15" customHeight="1">
      <c r="B57" s="32"/>
      <c r="K57" s="402"/>
      <c r="L57" s="400" t="s">
        <v>268</v>
      </c>
      <c r="M57" s="12" t="s">
        <v>269</v>
      </c>
      <c r="N57" s="629" t="s">
        <v>52</v>
      </c>
      <c r="O57" s="630"/>
      <c r="P57" s="419" t="s">
        <v>270</v>
      </c>
      <c r="Q57" s="636" t="s">
        <v>263</v>
      </c>
      <c r="R57" s="637"/>
      <c r="S57" s="12" t="s">
        <v>271</v>
      </c>
      <c r="T57" s="12" t="s">
        <v>272</v>
      </c>
      <c r="U57" s="254" t="s">
        <v>273</v>
      </c>
      <c r="V57" s="396" t="s">
        <v>274</v>
      </c>
      <c r="W57" s="254"/>
      <c r="X57" s="254"/>
      <c r="Y57" s="254"/>
      <c r="Z57" s="429"/>
      <c r="AA57" s="508"/>
      <c r="AB57" s="505"/>
    </row>
    <row r="58" spans="2:28" s="28" customFormat="1" ht="15" customHeight="1">
      <c r="B58" s="32"/>
      <c r="K58" s="402"/>
      <c r="L58" s="401" t="s">
        <v>620</v>
      </c>
      <c r="M58" s="12" t="s">
        <v>269</v>
      </c>
      <c r="N58" s="644" t="s">
        <v>52</v>
      </c>
      <c r="O58" s="645"/>
      <c r="P58" s="419">
        <v>36381</v>
      </c>
      <c r="Q58" s="636" t="s">
        <v>621</v>
      </c>
      <c r="R58" s="637"/>
      <c r="S58" s="421" t="s">
        <v>622</v>
      </c>
      <c r="T58" s="12" t="s">
        <v>63</v>
      </c>
      <c r="U58" s="12" t="s">
        <v>64</v>
      </c>
      <c r="V58" s="12" t="s">
        <v>65</v>
      </c>
      <c r="W58" s="254"/>
      <c r="X58" s="254"/>
      <c r="Y58" s="254"/>
      <c r="Z58" s="429"/>
      <c r="AA58" s="508"/>
      <c r="AB58" s="505"/>
    </row>
    <row r="59" spans="2:28" s="28" customFormat="1" ht="15" customHeight="1">
      <c r="B59" s="32"/>
      <c r="K59" s="402"/>
      <c r="L59" s="401" t="s">
        <v>623</v>
      </c>
      <c r="M59" s="12" t="s">
        <v>269</v>
      </c>
      <c r="N59" s="644" t="s">
        <v>52</v>
      </c>
      <c r="O59" s="645"/>
      <c r="P59" s="419">
        <v>33623</v>
      </c>
      <c r="Q59" s="636" t="s">
        <v>654</v>
      </c>
      <c r="R59" s="637"/>
      <c r="S59" s="421" t="s">
        <v>624</v>
      </c>
      <c r="T59" s="12" t="s">
        <v>615</v>
      </c>
      <c r="U59" s="12" t="s">
        <v>616</v>
      </c>
      <c r="V59" s="12" t="s">
        <v>617</v>
      </c>
      <c r="W59" s="254"/>
      <c r="X59" s="254"/>
      <c r="Y59" s="254"/>
      <c r="Z59" s="429"/>
      <c r="AA59" s="508"/>
      <c r="AB59" s="505"/>
    </row>
    <row r="60" spans="2:28" s="28" customFormat="1" ht="15" customHeight="1">
      <c r="B60" s="32"/>
      <c r="K60" s="402"/>
      <c r="L60" s="467" t="s">
        <v>821</v>
      </c>
      <c r="M60" s="468" t="s">
        <v>269</v>
      </c>
      <c r="N60" s="629" t="s">
        <v>52</v>
      </c>
      <c r="O60" s="630"/>
      <c r="P60" s="471">
        <v>36517</v>
      </c>
      <c r="Q60" s="638" t="s">
        <v>822</v>
      </c>
      <c r="R60" s="639"/>
      <c r="S60" s="472" t="s">
        <v>823</v>
      </c>
      <c r="T60" s="468" t="s">
        <v>824</v>
      </c>
      <c r="U60" s="468" t="s">
        <v>825</v>
      </c>
      <c r="V60" s="468" t="s">
        <v>826</v>
      </c>
      <c r="W60" s="469" t="s">
        <v>827</v>
      </c>
      <c r="X60" s="508" t="s">
        <v>818</v>
      </c>
      <c r="Y60" s="469" t="s">
        <v>887</v>
      </c>
      <c r="Z60" s="491" t="s">
        <v>888</v>
      </c>
      <c r="AA60" s="562">
        <v>45977</v>
      </c>
      <c r="AB60" s="558" t="s">
        <v>896</v>
      </c>
    </row>
    <row r="61" spans="2:28" ht="15" customHeight="1">
      <c r="B61" s="7"/>
      <c r="C61" s="7"/>
      <c r="K61" s="402"/>
      <c r="L61" s="467" t="s">
        <v>836</v>
      </c>
      <c r="M61" s="468" t="s">
        <v>269</v>
      </c>
      <c r="N61" s="629" t="s">
        <v>52</v>
      </c>
      <c r="O61" s="630"/>
      <c r="P61" s="471">
        <v>36429</v>
      </c>
      <c r="Q61" s="636" t="s">
        <v>837</v>
      </c>
      <c r="R61" s="637"/>
      <c r="S61" s="472" t="s">
        <v>838</v>
      </c>
      <c r="T61" s="468" t="s">
        <v>839</v>
      </c>
      <c r="U61" s="468" t="s">
        <v>840</v>
      </c>
      <c r="V61" s="468" t="s">
        <v>841</v>
      </c>
      <c r="W61" s="469" t="s">
        <v>842</v>
      </c>
      <c r="X61" s="429" t="s">
        <v>843</v>
      </c>
      <c r="Y61" s="469" t="s">
        <v>858</v>
      </c>
      <c r="Z61" s="491" t="s">
        <v>859</v>
      </c>
      <c r="AA61" s="562">
        <v>45886</v>
      </c>
      <c r="AB61" s="558" t="s">
        <v>634</v>
      </c>
    </row>
    <row r="62" spans="2:28" ht="15" customHeight="1">
      <c r="B62" s="7"/>
      <c r="C62" s="7"/>
      <c r="K62" s="402"/>
      <c r="L62" s="401" t="s">
        <v>660</v>
      </c>
      <c r="M62" s="12" t="s">
        <v>269</v>
      </c>
      <c r="N62" s="644" t="s">
        <v>52</v>
      </c>
      <c r="O62" s="645"/>
      <c r="P62" s="419">
        <v>35833</v>
      </c>
      <c r="Q62" s="636" t="s">
        <v>658</v>
      </c>
      <c r="R62" s="637"/>
      <c r="S62" s="12" t="s">
        <v>659</v>
      </c>
      <c r="T62" s="12" t="s">
        <v>661</v>
      </c>
      <c r="U62" s="12" t="s">
        <v>662</v>
      </c>
      <c r="V62" s="12" t="s">
        <v>663</v>
      </c>
      <c r="W62" s="395" t="s">
        <v>681</v>
      </c>
      <c r="X62" s="429" t="s">
        <v>705</v>
      </c>
      <c r="Y62" s="563" t="s">
        <v>718</v>
      </c>
      <c r="Z62" s="564" t="s">
        <v>714</v>
      </c>
      <c r="AA62" s="508"/>
      <c r="AB62" s="505"/>
    </row>
    <row r="63" spans="2:28" ht="15" customHeight="1">
      <c r="B63" s="7"/>
      <c r="C63" s="7"/>
      <c r="K63" s="402"/>
      <c r="L63" s="401" t="s">
        <v>739</v>
      </c>
      <c r="M63" s="12" t="s">
        <v>269</v>
      </c>
      <c r="N63" s="644" t="s">
        <v>52</v>
      </c>
      <c r="O63" s="645"/>
      <c r="P63" s="419">
        <v>34375</v>
      </c>
      <c r="Q63" s="636" t="s">
        <v>746</v>
      </c>
      <c r="R63" s="637"/>
      <c r="S63" s="12" t="s">
        <v>740</v>
      </c>
      <c r="T63" s="12" t="s">
        <v>742</v>
      </c>
      <c r="U63" s="12" t="s">
        <v>741</v>
      </c>
      <c r="V63" s="12" t="s">
        <v>743</v>
      </c>
      <c r="W63" s="447" t="s">
        <v>769</v>
      </c>
      <c r="X63" s="254" t="s">
        <v>770</v>
      </c>
      <c r="Y63" s="565" t="s">
        <v>747</v>
      </c>
      <c r="Z63" s="564" t="s">
        <v>748</v>
      </c>
      <c r="AA63" s="508"/>
      <c r="AB63" s="505"/>
    </row>
    <row r="64" spans="2:28" ht="15" customHeight="1">
      <c r="B64" s="7"/>
      <c r="C64" s="7"/>
      <c r="K64" s="402"/>
      <c r="L64" s="401" t="s">
        <v>774</v>
      </c>
      <c r="M64" s="12" t="s">
        <v>269</v>
      </c>
      <c r="N64" s="644" t="s">
        <v>52</v>
      </c>
      <c r="O64" s="645"/>
      <c r="P64" s="419">
        <v>35998</v>
      </c>
      <c r="Q64" s="636" t="s">
        <v>775</v>
      </c>
      <c r="R64" s="637"/>
      <c r="S64" s="12" t="s">
        <v>776</v>
      </c>
      <c r="T64" s="12" t="s">
        <v>783</v>
      </c>
      <c r="U64" s="12" t="s">
        <v>780</v>
      </c>
      <c r="V64" s="12" t="s">
        <v>784</v>
      </c>
      <c r="W64" s="395" t="s">
        <v>871</v>
      </c>
      <c r="X64" s="254" t="s">
        <v>870</v>
      </c>
      <c r="Y64" s="565" t="s">
        <v>781</v>
      </c>
      <c r="Z64" s="491" t="s">
        <v>782</v>
      </c>
      <c r="AA64" s="508"/>
      <c r="AB64" s="505"/>
    </row>
    <row r="65" spans="2:28" ht="15" customHeight="1">
      <c r="B65" s="7"/>
      <c r="C65" s="7"/>
      <c r="K65" s="402"/>
      <c r="L65" s="449" t="s">
        <v>760</v>
      </c>
      <c r="M65" s="447" t="s">
        <v>269</v>
      </c>
      <c r="N65" s="650" t="s">
        <v>52</v>
      </c>
      <c r="O65" s="651"/>
      <c r="P65" s="450">
        <v>30817</v>
      </c>
      <c r="Q65" s="652" t="s">
        <v>765</v>
      </c>
      <c r="R65" s="653"/>
      <c r="S65" s="451" t="s">
        <v>761</v>
      </c>
      <c r="T65" s="447" t="s">
        <v>762</v>
      </c>
      <c r="U65" s="447" t="s">
        <v>763</v>
      </c>
      <c r="V65" s="447" t="s">
        <v>764</v>
      </c>
      <c r="W65" s="395" t="s">
        <v>852</v>
      </c>
      <c r="X65" s="447" t="s">
        <v>853</v>
      </c>
      <c r="Y65" s="447" t="s">
        <v>863</v>
      </c>
      <c r="Z65" s="554" t="s">
        <v>766</v>
      </c>
      <c r="AA65" s="508"/>
      <c r="AB65" s="505"/>
    </row>
    <row r="66" spans="2:28" ht="15" customHeight="1">
      <c r="B66" s="7"/>
      <c r="C66" s="7"/>
      <c r="K66" s="402"/>
      <c r="L66" s="400" t="s">
        <v>777</v>
      </c>
      <c r="M66" s="12" t="s">
        <v>269</v>
      </c>
      <c r="N66" s="629" t="s">
        <v>52</v>
      </c>
      <c r="O66" s="630"/>
      <c r="P66" s="419">
        <v>36500</v>
      </c>
      <c r="Q66" s="636" t="s">
        <v>778</v>
      </c>
      <c r="R66" s="637"/>
      <c r="S66" s="421" t="s">
        <v>779</v>
      </c>
      <c r="T66" s="12" t="s">
        <v>788</v>
      </c>
      <c r="U66" s="12" t="s">
        <v>785</v>
      </c>
      <c r="V66" s="12" t="s">
        <v>789</v>
      </c>
      <c r="W66" s="395" t="s">
        <v>869</v>
      </c>
      <c r="X66" s="254" t="s">
        <v>870</v>
      </c>
      <c r="Y66" s="563" t="s">
        <v>786</v>
      </c>
      <c r="Z66" s="564" t="s">
        <v>787</v>
      </c>
      <c r="AA66" s="557">
        <v>45769</v>
      </c>
      <c r="AB66" s="558" t="s">
        <v>634</v>
      </c>
    </row>
    <row r="67" spans="2:28" ht="15" customHeight="1">
      <c r="B67" s="7"/>
      <c r="C67" s="7"/>
      <c r="K67" s="402"/>
      <c r="L67" s="467" t="s">
        <v>258</v>
      </c>
      <c r="M67" s="468" t="s">
        <v>269</v>
      </c>
      <c r="N67" s="629" t="s">
        <v>52</v>
      </c>
      <c r="O67" s="630"/>
      <c r="P67" s="471">
        <v>26762</v>
      </c>
      <c r="Q67" s="590" t="s">
        <v>802</v>
      </c>
      <c r="R67" s="591"/>
      <c r="S67" s="472" t="s">
        <v>795</v>
      </c>
      <c r="T67" s="468" t="s">
        <v>259</v>
      </c>
      <c r="U67" s="468" t="s">
        <v>796</v>
      </c>
      <c r="V67" s="468" t="s">
        <v>260</v>
      </c>
      <c r="W67" s="469" t="s">
        <v>904</v>
      </c>
      <c r="X67" s="508" t="s">
        <v>905</v>
      </c>
      <c r="Y67" s="585" t="s">
        <v>880</v>
      </c>
      <c r="Z67" s="564" t="s">
        <v>803</v>
      </c>
      <c r="AA67" s="557">
        <v>45797</v>
      </c>
      <c r="AB67" s="558" t="s">
        <v>634</v>
      </c>
    </row>
    <row r="68" spans="2:28" ht="15" customHeight="1">
      <c r="B68" s="7"/>
      <c r="C68" s="7"/>
      <c r="K68" s="402"/>
      <c r="L68" s="417" t="s">
        <v>314</v>
      </c>
      <c r="M68" s="12" t="s">
        <v>276</v>
      </c>
      <c r="N68" s="629" t="s">
        <v>52</v>
      </c>
      <c r="O68" s="630"/>
      <c r="P68" s="419" t="s">
        <v>315</v>
      </c>
      <c r="Q68" s="654" t="s">
        <v>316</v>
      </c>
      <c r="R68" s="655"/>
      <c r="S68" s="423" t="s">
        <v>317</v>
      </c>
      <c r="T68" s="396" t="s">
        <v>318</v>
      </c>
      <c r="U68" s="396" t="s">
        <v>319</v>
      </c>
      <c r="V68" s="396" t="s">
        <v>320</v>
      </c>
      <c r="W68" s="254"/>
      <c r="X68" s="254"/>
      <c r="Y68" s="254"/>
      <c r="Z68" s="429"/>
      <c r="AA68" s="508"/>
      <c r="AB68" s="505"/>
    </row>
    <row r="69" spans="2:28" ht="15" customHeight="1">
      <c r="B69" s="7"/>
      <c r="C69" s="7"/>
      <c r="K69" s="402"/>
      <c r="L69" s="400" t="s">
        <v>275</v>
      </c>
      <c r="M69" s="12" t="s">
        <v>276</v>
      </c>
      <c r="N69" s="629" t="s">
        <v>52</v>
      </c>
      <c r="O69" s="630"/>
      <c r="P69" s="419" t="s">
        <v>277</v>
      </c>
      <c r="Q69" s="636" t="s">
        <v>278</v>
      </c>
      <c r="R69" s="637"/>
      <c r="S69" s="12" t="s">
        <v>279</v>
      </c>
      <c r="T69" s="12" t="s">
        <v>280</v>
      </c>
      <c r="U69" s="12" t="s">
        <v>281</v>
      </c>
      <c r="V69" s="12" t="s">
        <v>282</v>
      </c>
      <c r="W69" s="578"/>
      <c r="X69" s="578"/>
      <c r="Y69" s="578"/>
      <c r="Z69" s="573"/>
      <c r="AA69" s="507"/>
      <c r="AB69" s="504"/>
    </row>
    <row r="70" spans="2:28" ht="15" customHeight="1">
      <c r="B70" s="7"/>
      <c r="C70" s="7"/>
      <c r="K70" s="402"/>
      <c r="L70" s="400" t="s">
        <v>283</v>
      </c>
      <c r="M70" s="12" t="s">
        <v>71</v>
      </c>
      <c r="N70" s="629" t="s">
        <v>52</v>
      </c>
      <c r="O70" s="630"/>
      <c r="P70" s="419" t="s">
        <v>284</v>
      </c>
      <c r="Q70" s="631" t="s">
        <v>285</v>
      </c>
      <c r="R70" s="632"/>
      <c r="S70" s="12" t="s">
        <v>72</v>
      </c>
      <c r="T70" s="12" t="s">
        <v>73</v>
      </c>
      <c r="U70" s="12" t="s">
        <v>74</v>
      </c>
      <c r="V70" s="12" t="s">
        <v>75</v>
      </c>
      <c r="W70" s="578"/>
      <c r="X70" s="578"/>
      <c r="Y70" s="578"/>
      <c r="Z70" s="573"/>
      <c r="AA70" s="507"/>
      <c r="AB70" s="504"/>
    </row>
    <row r="71" spans="2:28" ht="15" customHeight="1">
      <c r="B71" s="7"/>
      <c r="C71" s="7"/>
      <c r="K71" s="402"/>
      <c r="L71" s="400" t="s">
        <v>286</v>
      </c>
      <c r="M71" s="12" t="s">
        <v>71</v>
      </c>
      <c r="N71" s="629" t="s">
        <v>52</v>
      </c>
      <c r="O71" s="630"/>
      <c r="P71" s="419" t="s">
        <v>287</v>
      </c>
      <c r="Q71" s="631" t="s">
        <v>288</v>
      </c>
      <c r="R71" s="632"/>
      <c r="S71" s="12" t="s">
        <v>289</v>
      </c>
      <c r="T71" s="12" t="s">
        <v>290</v>
      </c>
      <c r="U71" s="12" t="s">
        <v>291</v>
      </c>
      <c r="V71" s="12" t="s">
        <v>292</v>
      </c>
      <c r="W71" s="578"/>
      <c r="X71" s="578"/>
      <c r="Y71" s="578"/>
      <c r="Z71" s="573"/>
      <c r="AA71" s="507"/>
      <c r="AB71" s="504"/>
    </row>
    <row r="72" spans="2:28" ht="15" customHeight="1">
      <c r="B72" s="7"/>
      <c r="C72" s="7"/>
      <c r="K72" s="402"/>
      <c r="L72" s="400" t="s">
        <v>293</v>
      </c>
      <c r="M72" s="12" t="s">
        <v>71</v>
      </c>
      <c r="N72" s="629" t="s">
        <v>52</v>
      </c>
      <c r="O72" s="630"/>
      <c r="P72" s="419" t="s">
        <v>294</v>
      </c>
      <c r="Q72" s="631" t="s">
        <v>295</v>
      </c>
      <c r="R72" s="632"/>
      <c r="S72" s="12" t="s">
        <v>296</v>
      </c>
      <c r="T72" s="12" t="s">
        <v>297</v>
      </c>
      <c r="U72" s="12" t="s">
        <v>298</v>
      </c>
      <c r="V72" s="12" t="s">
        <v>299</v>
      </c>
      <c r="W72" s="254"/>
      <c r="X72" s="254"/>
      <c r="Y72" s="254"/>
      <c r="Z72" s="429"/>
      <c r="AA72" s="508"/>
      <c r="AB72" s="505"/>
    </row>
    <row r="73" spans="2:28" ht="15" customHeight="1">
      <c r="B73" s="7"/>
      <c r="C73" s="7"/>
      <c r="K73" s="402"/>
      <c r="L73" s="400" t="s">
        <v>300</v>
      </c>
      <c r="M73" s="396" t="s">
        <v>71</v>
      </c>
      <c r="N73" s="629" t="s">
        <v>52</v>
      </c>
      <c r="O73" s="630"/>
      <c r="P73" s="419" t="s">
        <v>301</v>
      </c>
      <c r="Q73" s="636" t="s">
        <v>302</v>
      </c>
      <c r="R73" s="637"/>
      <c r="S73" s="421" t="s">
        <v>303</v>
      </c>
      <c r="T73" s="12" t="s">
        <v>304</v>
      </c>
      <c r="U73" s="254" t="s">
        <v>305</v>
      </c>
      <c r="V73" s="254" t="s">
        <v>306</v>
      </c>
      <c r="W73" s="254"/>
      <c r="X73" s="254"/>
      <c r="Y73" s="254"/>
      <c r="Z73" s="429"/>
      <c r="AA73" s="508"/>
      <c r="AB73" s="505"/>
    </row>
    <row r="74" spans="2:28" ht="15" customHeight="1">
      <c r="B74" s="35"/>
      <c r="C74" s="7"/>
      <c r="K74" s="402"/>
      <c r="L74" s="400" t="s">
        <v>307</v>
      </c>
      <c r="M74" s="396" t="s">
        <v>71</v>
      </c>
      <c r="N74" s="629" t="s">
        <v>52</v>
      </c>
      <c r="O74" s="630"/>
      <c r="P74" s="419" t="s">
        <v>308</v>
      </c>
      <c r="Q74" s="636" t="s">
        <v>309</v>
      </c>
      <c r="R74" s="637"/>
      <c r="S74" s="12" t="s">
        <v>310</v>
      </c>
      <c r="T74" s="396" t="s">
        <v>311</v>
      </c>
      <c r="U74" s="396" t="s">
        <v>312</v>
      </c>
      <c r="V74" s="396" t="s">
        <v>313</v>
      </c>
      <c r="W74" s="254"/>
      <c r="X74" s="254"/>
      <c r="Y74" s="254"/>
      <c r="Z74" s="429"/>
      <c r="AA74" s="508"/>
      <c r="AB74" s="505"/>
    </row>
    <row r="75" spans="2:28" s="28" customFormat="1" ht="15" customHeight="1">
      <c r="B75" s="26"/>
      <c r="C75" s="26"/>
      <c r="K75" s="402"/>
      <c r="L75" s="401" t="s">
        <v>608</v>
      </c>
      <c r="M75" s="12" t="s">
        <v>71</v>
      </c>
      <c r="N75" s="644" t="s">
        <v>52</v>
      </c>
      <c r="O75" s="645"/>
      <c r="P75" s="419" t="s">
        <v>609</v>
      </c>
      <c r="Q75" s="636" t="s">
        <v>610</v>
      </c>
      <c r="R75" s="637"/>
      <c r="S75" s="12" t="s">
        <v>611</v>
      </c>
      <c r="T75" s="12" t="s">
        <v>612</v>
      </c>
      <c r="U75" s="12" t="s">
        <v>613</v>
      </c>
      <c r="V75" s="12" t="s">
        <v>614</v>
      </c>
      <c r="W75" s="254"/>
      <c r="X75" s="254"/>
      <c r="Y75" s="254"/>
      <c r="Z75" s="429"/>
      <c r="AA75" s="508"/>
      <c r="AB75" s="505"/>
    </row>
    <row r="76" spans="2:28" s="28" customFormat="1" ht="15" customHeight="1">
      <c r="B76" s="26"/>
      <c r="C76" s="26"/>
      <c r="K76" s="402"/>
      <c r="L76" s="401" t="s">
        <v>645</v>
      </c>
      <c r="M76" s="12" t="s">
        <v>71</v>
      </c>
      <c r="N76" s="644" t="s">
        <v>52</v>
      </c>
      <c r="O76" s="645"/>
      <c r="P76" s="419">
        <v>32949</v>
      </c>
      <c r="Q76" s="636" t="s">
        <v>655</v>
      </c>
      <c r="R76" s="637"/>
      <c r="S76" s="12" t="s">
        <v>648</v>
      </c>
      <c r="T76" s="12" t="s">
        <v>649</v>
      </c>
      <c r="U76" s="12" t="s">
        <v>650</v>
      </c>
      <c r="V76" s="12" t="s">
        <v>651</v>
      </c>
      <c r="W76" s="395" t="s">
        <v>682</v>
      </c>
      <c r="X76" s="429" t="s">
        <v>703</v>
      </c>
      <c r="Y76" s="563" t="s">
        <v>719</v>
      </c>
      <c r="Z76" s="564" t="s">
        <v>712</v>
      </c>
      <c r="AA76" s="512">
        <v>45398</v>
      </c>
      <c r="AB76" s="592" t="s">
        <v>634</v>
      </c>
    </row>
    <row r="77" spans="2:28" s="28" customFormat="1" ht="15" customHeight="1">
      <c r="B77" s="26"/>
      <c r="C77" s="26"/>
      <c r="K77" s="402"/>
      <c r="L77" s="401" t="s">
        <v>754</v>
      </c>
      <c r="M77" s="12" t="s">
        <v>71</v>
      </c>
      <c r="N77" s="644" t="s">
        <v>52</v>
      </c>
      <c r="O77" s="645"/>
      <c r="P77" s="419">
        <v>35628</v>
      </c>
      <c r="Q77" s="636" t="s">
        <v>755</v>
      </c>
      <c r="R77" s="637"/>
      <c r="S77" s="12" t="s">
        <v>756</v>
      </c>
      <c r="T77" s="12" t="s">
        <v>757</v>
      </c>
      <c r="U77" s="12" t="s">
        <v>758</v>
      </c>
      <c r="V77" s="12" t="s">
        <v>759</v>
      </c>
      <c r="W77" s="395" t="s">
        <v>854</v>
      </c>
      <c r="X77" s="429" t="s">
        <v>855</v>
      </c>
      <c r="Y77" s="565" t="s">
        <v>767</v>
      </c>
      <c r="Z77" s="583" t="s">
        <v>768</v>
      </c>
      <c r="AA77" s="512">
        <v>45684</v>
      </c>
      <c r="AB77" s="592" t="s">
        <v>634</v>
      </c>
    </row>
    <row r="78" spans="2:28" s="28" customFormat="1" ht="15" customHeight="1">
      <c r="B78" s="26"/>
      <c r="C78" s="26"/>
      <c r="K78" s="402"/>
      <c r="L78" s="401" t="s">
        <v>872</v>
      </c>
      <c r="M78" s="12" t="s">
        <v>71</v>
      </c>
      <c r="N78" s="644" t="s">
        <v>52</v>
      </c>
      <c r="O78" s="645"/>
      <c r="P78" s="419">
        <v>36984</v>
      </c>
      <c r="Q78" s="711" t="s">
        <v>873</v>
      </c>
      <c r="R78" s="712"/>
      <c r="S78" s="12" t="s">
        <v>874</v>
      </c>
      <c r="T78" s="12" t="s">
        <v>875</v>
      </c>
      <c r="U78" s="584" t="s">
        <v>876</v>
      </c>
      <c r="V78" s="12" t="s">
        <v>877</v>
      </c>
      <c r="W78" s="470" t="s">
        <v>722</v>
      </c>
      <c r="X78" s="429"/>
      <c r="Y78" s="565" t="s">
        <v>878</v>
      </c>
      <c r="Z78" s="583" t="s">
        <v>879</v>
      </c>
      <c r="AA78" s="562">
        <v>45958</v>
      </c>
      <c r="AB78" s="558" t="s">
        <v>634</v>
      </c>
    </row>
    <row r="79" spans="2:28" ht="15" customHeight="1">
      <c r="B79" s="7"/>
      <c r="D79" s="382"/>
      <c r="K79" s="402"/>
      <c r="L79" s="400" t="s">
        <v>76</v>
      </c>
      <c r="M79" s="12" t="s">
        <v>77</v>
      </c>
      <c r="N79" s="629" t="s">
        <v>52</v>
      </c>
      <c r="O79" s="630"/>
      <c r="P79" s="419" t="s">
        <v>78</v>
      </c>
      <c r="Q79" s="631" t="s">
        <v>79</v>
      </c>
      <c r="R79" s="632"/>
      <c r="S79" s="12" t="s">
        <v>80</v>
      </c>
      <c r="T79" s="12" t="s">
        <v>81</v>
      </c>
      <c r="U79" s="396" t="s">
        <v>82</v>
      </c>
      <c r="V79" s="396" t="s">
        <v>83</v>
      </c>
      <c r="W79" s="254"/>
      <c r="X79" s="254"/>
      <c r="Y79" s="254"/>
      <c r="Z79" s="429"/>
      <c r="AA79" s="508"/>
      <c r="AB79" s="505"/>
    </row>
    <row r="80" spans="2:28" ht="15" customHeight="1">
      <c r="B80" s="30"/>
      <c r="D80" s="383"/>
      <c r="G80" s="31"/>
      <c r="I80" s="28"/>
      <c r="J80" s="28"/>
      <c r="K80" s="402"/>
      <c r="L80" s="400" t="s">
        <v>108</v>
      </c>
      <c r="M80" s="12" t="s">
        <v>77</v>
      </c>
      <c r="N80" s="629" t="s">
        <v>52</v>
      </c>
      <c r="O80" s="630"/>
      <c r="P80" s="419" t="s">
        <v>109</v>
      </c>
      <c r="Q80" s="636" t="s">
        <v>110</v>
      </c>
      <c r="R80" s="637"/>
      <c r="S80" s="421" t="s">
        <v>111</v>
      </c>
      <c r="T80" s="12" t="s">
        <v>112</v>
      </c>
      <c r="U80" s="254" t="s">
        <v>113</v>
      </c>
      <c r="V80" s="254" t="s">
        <v>114</v>
      </c>
      <c r="W80" s="578"/>
      <c r="X80" s="578"/>
      <c r="Y80" s="578"/>
      <c r="Z80" s="573"/>
      <c r="AA80" s="507"/>
      <c r="AB80" s="504"/>
    </row>
    <row r="81" spans="2:28" ht="15" customHeight="1">
      <c r="B81" s="30"/>
      <c r="D81" s="444"/>
      <c r="K81" s="402"/>
      <c r="L81" s="417" t="s">
        <v>115</v>
      </c>
      <c r="M81" s="12" t="s">
        <v>77</v>
      </c>
      <c r="N81" s="629" t="s">
        <v>52</v>
      </c>
      <c r="O81" s="630"/>
      <c r="P81" s="419" t="s">
        <v>116</v>
      </c>
      <c r="Q81" s="654" t="s">
        <v>117</v>
      </c>
      <c r="R81" s="655"/>
      <c r="S81" s="396" t="s">
        <v>118</v>
      </c>
      <c r="T81" s="423" t="s">
        <v>119</v>
      </c>
      <c r="U81" s="396" t="s">
        <v>120</v>
      </c>
      <c r="V81" s="396" t="s">
        <v>121</v>
      </c>
      <c r="W81" s="254"/>
      <c r="X81" s="254"/>
      <c r="Y81" s="254"/>
      <c r="Z81" s="429"/>
      <c r="AA81" s="508"/>
      <c r="AB81" s="505"/>
    </row>
    <row r="82" spans="2:28" ht="15" customHeight="1">
      <c r="B82" s="30"/>
      <c r="D82" s="444"/>
      <c r="K82" s="402"/>
      <c r="L82" s="400" t="s">
        <v>122</v>
      </c>
      <c r="M82" s="12" t="s">
        <v>77</v>
      </c>
      <c r="N82" s="629" t="s">
        <v>52</v>
      </c>
      <c r="O82" s="630"/>
      <c r="P82" s="419" t="s">
        <v>123</v>
      </c>
      <c r="Q82" s="636" t="s">
        <v>124</v>
      </c>
      <c r="R82" s="637"/>
      <c r="S82" s="421" t="s">
        <v>125</v>
      </c>
      <c r="T82" s="12" t="s">
        <v>126</v>
      </c>
      <c r="U82" s="12" t="s">
        <v>127</v>
      </c>
      <c r="V82" s="12" t="s">
        <v>128</v>
      </c>
      <c r="W82" s="254"/>
      <c r="X82" s="254"/>
      <c r="Y82" s="254"/>
      <c r="Z82" s="429"/>
      <c r="AA82" s="508"/>
      <c r="AB82" s="505"/>
    </row>
    <row r="83" spans="2:28" ht="15" customHeight="1">
      <c r="B83" s="32"/>
      <c r="D83" s="22"/>
      <c r="G83" s="28"/>
      <c r="K83" s="402"/>
      <c r="L83" s="400" t="s">
        <v>76</v>
      </c>
      <c r="M83" s="12" t="s">
        <v>77</v>
      </c>
      <c r="N83" s="629" t="s">
        <v>52</v>
      </c>
      <c r="O83" s="630"/>
      <c r="P83" s="419" t="s">
        <v>78</v>
      </c>
      <c r="Q83" s="636" t="s">
        <v>129</v>
      </c>
      <c r="R83" s="637"/>
      <c r="S83" s="421" t="s">
        <v>130</v>
      </c>
      <c r="T83" s="12" t="s">
        <v>81</v>
      </c>
      <c r="U83" s="254" t="s">
        <v>131</v>
      </c>
      <c r="V83" s="254" t="s">
        <v>83</v>
      </c>
      <c r="W83" s="254"/>
      <c r="X83" s="254"/>
      <c r="Y83" s="254"/>
      <c r="Z83" s="429"/>
      <c r="AA83" s="508"/>
      <c r="AB83" s="505"/>
    </row>
    <row r="84" spans="2:28" ht="15" customHeight="1">
      <c r="B84" s="30"/>
      <c r="D84" s="22"/>
      <c r="K84" s="402"/>
      <c r="L84" s="400" t="s">
        <v>132</v>
      </c>
      <c r="M84" s="12" t="s">
        <v>77</v>
      </c>
      <c r="N84" s="629" t="s">
        <v>52</v>
      </c>
      <c r="O84" s="630"/>
      <c r="P84" s="419" t="s">
        <v>133</v>
      </c>
      <c r="Q84" s="636" t="s">
        <v>134</v>
      </c>
      <c r="R84" s="637"/>
      <c r="S84" s="12" t="s">
        <v>135</v>
      </c>
      <c r="T84" s="12" t="s">
        <v>136</v>
      </c>
      <c r="U84" s="12" t="s">
        <v>137</v>
      </c>
      <c r="V84" s="12" t="s">
        <v>138</v>
      </c>
      <c r="W84" s="254"/>
      <c r="X84" s="254"/>
      <c r="Y84" s="254"/>
      <c r="Z84" s="429"/>
      <c r="AA84" s="508"/>
      <c r="AB84" s="505"/>
    </row>
    <row r="85" spans="2:28" ht="15" customHeight="1">
      <c r="B85" s="32"/>
      <c r="D85" s="22"/>
      <c r="G85" s="28"/>
      <c r="K85" s="402"/>
      <c r="L85" s="400" t="s">
        <v>139</v>
      </c>
      <c r="M85" s="12" t="s">
        <v>77</v>
      </c>
      <c r="N85" s="629" t="s">
        <v>52</v>
      </c>
      <c r="O85" s="630"/>
      <c r="P85" s="419" t="s">
        <v>140</v>
      </c>
      <c r="Q85" s="631" t="s">
        <v>141</v>
      </c>
      <c r="R85" s="632"/>
      <c r="S85" s="421" t="s">
        <v>142</v>
      </c>
      <c r="T85" s="12" t="s">
        <v>143</v>
      </c>
      <c r="U85" s="12" t="s">
        <v>144</v>
      </c>
      <c r="V85" s="12" t="s">
        <v>145</v>
      </c>
      <c r="W85" s="254"/>
      <c r="X85" s="254"/>
      <c r="Y85" s="254"/>
      <c r="Z85" s="429"/>
      <c r="AA85" s="508"/>
      <c r="AB85" s="505"/>
    </row>
    <row r="86" spans="2:28" ht="15" customHeight="1">
      <c r="B86" s="30"/>
      <c r="D86" s="22"/>
      <c r="K86" s="402"/>
      <c r="L86" s="400" t="s">
        <v>139</v>
      </c>
      <c r="M86" s="12" t="s">
        <v>77</v>
      </c>
      <c r="N86" s="629" t="s">
        <v>52</v>
      </c>
      <c r="O86" s="630"/>
      <c r="P86" s="419">
        <v>31055</v>
      </c>
      <c r="Q86" s="631" t="s">
        <v>656</v>
      </c>
      <c r="R86" s="632"/>
      <c r="S86" s="12" t="s">
        <v>142</v>
      </c>
      <c r="T86" s="12" t="s">
        <v>81</v>
      </c>
      <c r="U86" s="396" t="s">
        <v>82</v>
      </c>
      <c r="V86" s="396" t="s">
        <v>83</v>
      </c>
      <c r="W86" s="254"/>
      <c r="X86" s="254"/>
      <c r="Y86" s="254"/>
      <c r="Z86" s="429"/>
      <c r="AA86" s="508"/>
      <c r="AB86" s="505"/>
    </row>
    <row r="87" spans="2:28" ht="15" customHeight="1">
      <c r="B87" s="30"/>
      <c r="D87" s="22"/>
      <c r="K87" s="402"/>
      <c r="L87" s="467" t="s">
        <v>844</v>
      </c>
      <c r="M87" s="468" t="s">
        <v>77</v>
      </c>
      <c r="N87" s="629" t="s">
        <v>52</v>
      </c>
      <c r="O87" s="630"/>
      <c r="P87" s="471">
        <v>26871</v>
      </c>
      <c r="Q87" s="631" t="s">
        <v>845</v>
      </c>
      <c r="R87" s="632"/>
      <c r="S87" s="472" t="s">
        <v>846</v>
      </c>
      <c r="T87" s="468" t="s">
        <v>847</v>
      </c>
      <c r="U87" s="468" t="s">
        <v>848</v>
      </c>
      <c r="V87" s="468" t="s">
        <v>849</v>
      </c>
      <c r="W87" s="469" t="s">
        <v>683</v>
      </c>
      <c r="X87" s="429" t="s">
        <v>704</v>
      </c>
      <c r="Y87" s="585" t="s">
        <v>850</v>
      </c>
      <c r="Z87" s="564" t="s">
        <v>851</v>
      </c>
      <c r="AA87" s="508"/>
      <c r="AB87" s="505"/>
    </row>
    <row r="88" spans="2:28" s="28" customFormat="1" ht="15" customHeight="1">
      <c r="B88" s="32"/>
      <c r="D88" s="33"/>
      <c r="J88"/>
      <c r="K88" s="402"/>
      <c r="L88" s="400" t="s">
        <v>146</v>
      </c>
      <c r="M88" s="12" t="s">
        <v>77</v>
      </c>
      <c r="N88" s="635" t="s">
        <v>52</v>
      </c>
      <c r="O88" s="635"/>
      <c r="P88" s="419" t="s">
        <v>147</v>
      </c>
      <c r="Q88" s="638" t="s">
        <v>845</v>
      </c>
      <c r="R88" s="639"/>
      <c r="S88" s="421" t="s">
        <v>771</v>
      </c>
      <c r="T88" s="12" t="s">
        <v>148</v>
      </c>
      <c r="U88" s="12" t="s">
        <v>881</v>
      </c>
      <c r="V88" s="12" t="s">
        <v>149</v>
      </c>
      <c r="W88" s="395" t="s">
        <v>884</v>
      </c>
      <c r="X88" s="491" t="s">
        <v>885</v>
      </c>
      <c r="Y88" s="395" t="s">
        <v>773</v>
      </c>
      <c r="Z88" s="491" t="s">
        <v>772</v>
      </c>
      <c r="AA88" s="562">
        <v>45769</v>
      </c>
      <c r="AB88" s="558" t="s">
        <v>635</v>
      </c>
    </row>
    <row r="89" spans="2:28" ht="15" customHeight="1">
      <c r="B89" s="7"/>
      <c r="C89" s="7"/>
      <c r="K89" s="402"/>
      <c r="L89" s="400" t="s">
        <v>321</v>
      </c>
      <c r="M89" s="12" t="s">
        <v>84</v>
      </c>
      <c r="N89" s="629" t="s">
        <v>52</v>
      </c>
      <c r="O89" s="630"/>
      <c r="P89" s="419" t="s">
        <v>322</v>
      </c>
      <c r="Q89" s="636" t="s">
        <v>323</v>
      </c>
      <c r="R89" s="637"/>
      <c r="S89" s="421" t="s">
        <v>324</v>
      </c>
      <c r="T89" s="12" t="s">
        <v>325</v>
      </c>
      <c r="U89" s="12" t="s">
        <v>326</v>
      </c>
      <c r="V89" s="12" t="s">
        <v>327</v>
      </c>
      <c r="W89" s="254"/>
      <c r="X89" s="254"/>
      <c r="Y89" s="254"/>
      <c r="Z89" s="429"/>
      <c r="AA89" s="508"/>
      <c r="AB89" s="505"/>
    </row>
    <row r="90" spans="2:28" ht="15" customHeight="1">
      <c r="B90" s="7"/>
      <c r="C90" s="7"/>
      <c r="K90" s="402"/>
      <c r="L90" s="400" t="s">
        <v>328</v>
      </c>
      <c r="M90" s="12" t="s">
        <v>84</v>
      </c>
      <c r="N90" s="629" t="s">
        <v>52</v>
      </c>
      <c r="O90" s="630"/>
      <c r="P90" s="419" t="s">
        <v>329</v>
      </c>
      <c r="Q90" s="636" t="s">
        <v>330</v>
      </c>
      <c r="R90" s="637"/>
      <c r="S90" s="421" t="s">
        <v>331</v>
      </c>
      <c r="T90" s="12" t="s">
        <v>85</v>
      </c>
      <c r="U90" s="12" t="s">
        <v>86</v>
      </c>
      <c r="V90" s="12" t="s">
        <v>87</v>
      </c>
      <c r="W90" s="254"/>
      <c r="X90" s="254"/>
      <c r="Y90" s="254"/>
      <c r="Z90" s="429"/>
      <c r="AA90" s="508"/>
      <c r="AB90" s="505"/>
    </row>
    <row r="91" spans="2:28" ht="15" customHeight="1">
      <c r="B91" s="7"/>
      <c r="C91" s="7"/>
      <c r="K91" s="402"/>
      <c r="L91" s="400" t="s">
        <v>332</v>
      </c>
      <c r="M91" s="12" t="s">
        <v>84</v>
      </c>
      <c r="N91" s="629" t="s">
        <v>38</v>
      </c>
      <c r="O91" s="630"/>
      <c r="P91" s="419" t="s">
        <v>333</v>
      </c>
      <c r="Q91" s="636" t="s">
        <v>95</v>
      </c>
      <c r="R91" s="637"/>
      <c r="S91" s="421" t="s">
        <v>334</v>
      </c>
      <c r="T91" s="12" t="s">
        <v>335</v>
      </c>
      <c r="U91" s="12" t="s">
        <v>336</v>
      </c>
      <c r="V91" s="12" t="s">
        <v>337</v>
      </c>
      <c r="W91" s="254"/>
      <c r="X91" s="254"/>
      <c r="Y91" s="254"/>
      <c r="Z91" s="429"/>
      <c r="AA91" s="508"/>
      <c r="AB91" s="505"/>
    </row>
    <row r="92" spans="2:28" ht="15" customHeight="1">
      <c r="B92" s="35"/>
      <c r="C92" s="7"/>
      <c r="K92" s="402"/>
      <c r="L92" s="416" t="s">
        <v>338</v>
      </c>
      <c r="M92" s="415" t="s">
        <v>84</v>
      </c>
      <c r="N92" s="646" t="s">
        <v>38</v>
      </c>
      <c r="O92" s="647"/>
      <c r="P92" s="420" t="s">
        <v>339</v>
      </c>
      <c r="Q92" s="633" t="s">
        <v>340</v>
      </c>
      <c r="R92" s="634"/>
      <c r="S92" s="422" t="s">
        <v>341</v>
      </c>
      <c r="T92" s="415" t="s">
        <v>342</v>
      </c>
      <c r="U92" s="415" t="s">
        <v>343</v>
      </c>
      <c r="V92" s="415" t="s">
        <v>344</v>
      </c>
      <c r="W92" s="254"/>
      <c r="X92" s="254"/>
      <c r="Y92" s="254"/>
      <c r="Z92" s="429"/>
      <c r="AA92" s="508"/>
      <c r="AB92" s="505"/>
    </row>
    <row r="93" spans="2:28" ht="15" customHeight="1">
      <c r="B93" s="35"/>
      <c r="C93" s="7"/>
      <c r="K93" s="402"/>
      <c r="L93" s="416" t="s">
        <v>345</v>
      </c>
      <c r="M93" s="415" t="s">
        <v>84</v>
      </c>
      <c r="N93" s="629" t="s">
        <v>52</v>
      </c>
      <c r="O93" s="630"/>
      <c r="P93" s="420" t="s">
        <v>346</v>
      </c>
      <c r="Q93" s="633" t="s">
        <v>347</v>
      </c>
      <c r="R93" s="634"/>
      <c r="S93" s="422" t="s">
        <v>348</v>
      </c>
      <c r="T93" s="415" t="s">
        <v>349</v>
      </c>
      <c r="U93" s="415" t="s">
        <v>350</v>
      </c>
      <c r="V93" s="415" t="s">
        <v>351</v>
      </c>
      <c r="W93" s="254"/>
      <c r="X93" s="254"/>
      <c r="Y93" s="254"/>
      <c r="Z93" s="429"/>
      <c r="AA93" s="508"/>
      <c r="AB93" s="505"/>
    </row>
    <row r="94" spans="2:28" ht="15" customHeight="1">
      <c r="B94" s="35"/>
      <c r="C94" s="7"/>
      <c r="K94" s="402"/>
      <c r="L94" s="400" t="s">
        <v>626</v>
      </c>
      <c r="M94" s="12" t="s">
        <v>84</v>
      </c>
      <c r="N94" s="629" t="s">
        <v>38</v>
      </c>
      <c r="O94" s="630"/>
      <c r="P94" s="419">
        <v>37959</v>
      </c>
      <c r="Q94" s="631" t="s">
        <v>632</v>
      </c>
      <c r="R94" s="632"/>
      <c r="S94" s="421" t="s">
        <v>627</v>
      </c>
      <c r="T94" s="12" t="s">
        <v>628</v>
      </c>
      <c r="U94" s="12" t="s">
        <v>629</v>
      </c>
      <c r="V94" s="12" t="s">
        <v>630</v>
      </c>
      <c r="W94" s="254"/>
      <c r="X94" s="254"/>
      <c r="Y94" s="254"/>
      <c r="Z94" s="429"/>
      <c r="AA94" s="508"/>
      <c r="AB94" s="505"/>
    </row>
    <row r="95" spans="2:28" ht="15" customHeight="1">
      <c r="B95" s="35"/>
      <c r="C95" s="7"/>
      <c r="K95" s="402"/>
      <c r="L95" s="400" t="s">
        <v>646</v>
      </c>
      <c r="M95" s="12" t="s">
        <v>84</v>
      </c>
      <c r="N95" s="629" t="s">
        <v>52</v>
      </c>
      <c r="O95" s="630"/>
      <c r="P95" s="419">
        <v>36507</v>
      </c>
      <c r="Q95" s="636" t="s">
        <v>657</v>
      </c>
      <c r="R95" s="637"/>
      <c r="S95" s="421" t="s">
        <v>641</v>
      </c>
      <c r="T95" s="12" t="s">
        <v>642</v>
      </c>
      <c r="U95" s="12" t="s">
        <v>643</v>
      </c>
      <c r="V95" s="12" t="s">
        <v>644</v>
      </c>
      <c r="W95" s="395" t="s">
        <v>684</v>
      </c>
      <c r="X95" s="254" t="s">
        <v>702</v>
      </c>
      <c r="Y95" s="563" t="s">
        <v>720</v>
      </c>
      <c r="Z95" s="564" t="s">
        <v>713</v>
      </c>
      <c r="AA95" s="508"/>
      <c r="AB95" s="505"/>
    </row>
    <row r="96" spans="2:28" ht="15" customHeight="1">
      <c r="B96" s="35"/>
      <c r="C96" s="7"/>
      <c r="K96" s="402"/>
      <c r="L96" s="467" t="s">
        <v>828</v>
      </c>
      <c r="M96" s="468" t="s">
        <v>84</v>
      </c>
      <c r="N96" s="629" t="s">
        <v>38</v>
      </c>
      <c r="O96" s="630"/>
      <c r="P96" s="471">
        <v>38984</v>
      </c>
      <c r="Q96" s="631" t="s">
        <v>829</v>
      </c>
      <c r="R96" s="632"/>
      <c r="S96" s="472" t="s">
        <v>830</v>
      </c>
      <c r="T96" s="468" t="s">
        <v>831</v>
      </c>
      <c r="U96" s="468" t="s">
        <v>832</v>
      </c>
      <c r="V96" s="468" t="s">
        <v>833</v>
      </c>
      <c r="W96" s="469" t="s">
        <v>834</v>
      </c>
      <c r="X96" s="429" t="s">
        <v>835</v>
      </c>
      <c r="Y96" s="508" t="s">
        <v>709</v>
      </c>
      <c r="Z96" s="556"/>
      <c r="AA96" s="512">
        <v>45579</v>
      </c>
      <c r="AB96" s="505" t="s">
        <v>634</v>
      </c>
    </row>
    <row r="97" spans="2:28" ht="15" customHeight="1">
      <c r="B97" s="35"/>
      <c r="C97" s="7"/>
      <c r="K97" s="402"/>
      <c r="L97" s="467" t="s">
        <v>777</v>
      </c>
      <c r="M97" s="468" t="s">
        <v>84</v>
      </c>
      <c r="N97" s="629" t="s">
        <v>52</v>
      </c>
      <c r="O97" s="630"/>
      <c r="P97" s="471">
        <v>36500</v>
      </c>
      <c r="Q97" s="631" t="s">
        <v>778</v>
      </c>
      <c r="R97" s="632"/>
      <c r="S97" s="472" t="s">
        <v>779</v>
      </c>
      <c r="T97" s="468" t="s">
        <v>788</v>
      </c>
      <c r="U97" s="468" t="s">
        <v>785</v>
      </c>
      <c r="V97" s="468" t="s">
        <v>789</v>
      </c>
      <c r="W97" s="469" t="s">
        <v>869</v>
      </c>
      <c r="X97" s="429" t="s">
        <v>870</v>
      </c>
      <c r="Y97" s="585" t="s">
        <v>786</v>
      </c>
      <c r="Z97" s="564" t="s">
        <v>787</v>
      </c>
      <c r="AA97" s="557">
        <v>45769</v>
      </c>
      <c r="AB97" s="558" t="s">
        <v>634</v>
      </c>
    </row>
    <row r="98" spans="2:28" ht="15" customHeight="1">
      <c r="B98" s="35"/>
      <c r="C98" s="7"/>
      <c r="K98" s="402"/>
      <c r="L98" s="467" t="s">
        <v>1001</v>
      </c>
      <c r="M98" s="468" t="s">
        <v>84</v>
      </c>
      <c r="N98" s="629" t="s">
        <v>52</v>
      </c>
      <c r="O98" s="630"/>
      <c r="P98" s="471"/>
      <c r="Q98" s="631"/>
      <c r="R98" s="632"/>
      <c r="S98" s="472"/>
      <c r="T98" s="468"/>
      <c r="U98" s="468"/>
      <c r="V98" s="468"/>
      <c r="W98" s="469"/>
      <c r="X98" s="429"/>
      <c r="Y98" s="585"/>
      <c r="Z98" s="564"/>
      <c r="AA98" s="557"/>
      <c r="AB98" s="558"/>
    </row>
    <row r="99" spans="2:28" ht="15" customHeight="1">
      <c r="B99" s="35"/>
      <c r="C99" s="7"/>
      <c r="K99" s="402"/>
      <c r="L99" s="467"/>
      <c r="M99" s="468"/>
      <c r="N99" s="629"/>
      <c r="O99" s="630"/>
      <c r="P99" s="471"/>
      <c r="Q99" s="631"/>
      <c r="R99" s="632"/>
      <c r="S99" s="472"/>
      <c r="T99" s="468"/>
      <c r="U99" s="468"/>
      <c r="V99" s="468"/>
      <c r="W99" s="469"/>
      <c r="X99" s="429"/>
      <c r="Y99" s="508"/>
      <c r="Z99" s="429"/>
      <c r="AA99" s="557"/>
      <c r="AB99" s="558"/>
    </row>
    <row r="100" spans="2:28" ht="15" customHeight="1">
      <c r="B100" s="35"/>
      <c r="C100" s="7"/>
      <c r="K100" s="402"/>
      <c r="L100" s="467"/>
      <c r="M100" s="468"/>
      <c r="N100" s="629"/>
      <c r="O100" s="630"/>
      <c r="P100" s="471"/>
      <c r="Q100" s="631"/>
      <c r="R100" s="632"/>
      <c r="S100" s="472"/>
      <c r="T100" s="468"/>
      <c r="U100" s="468"/>
      <c r="V100" s="468"/>
      <c r="W100" s="469"/>
      <c r="X100" s="429"/>
      <c r="Y100" s="508"/>
      <c r="Z100" s="429"/>
      <c r="AA100" s="557"/>
      <c r="AB100" s="558"/>
    </row>
    <row r="101" spans="2:28" ht="15" customHeight="1">
      <c r="B101" s="35"/>
      <c r="C101" s="7"/>
      <c r="K101" s="402"/>
      <c r="L101" s="467"/>
      <c r="M101" s="468"/>
      <c r="N101" s="629"/>
      <c r="O101" s="630"/>
      <c r="P101" s="471"/>
      <c r="Q101" s="631"/>
      <c r="R101" s="632"/>
      <c r="S101" s="472"/>
      <c r="T101" s="468"/>
      <c r="U101" s="468"/>
      <c r="V101" s="468"/>
      <c r="W101" s="469"/>
      <c r="X101" s="429"/>
      <c r="Y101" s="508"/>
      <c r="Z101" s="429"/>
      <c r="AA101" s="557"/>
      <c r="AB101" s="558"/>
    </row>
    <row r="102" spans="2:28" ht="15" customHeight="1">
      <c r="B102" s="35"/>
      <c r="C102" s="7"/>
      <c r="K102" s="402"/>
      <c r="L102" s="467"/>
      <c r="M102" s="468"/>
      <c r="N102" s="629"/>
      <c r="O102" s="630"/>
      <c r="P102" s="471"/>
      <c r="Q102" s="631"/>
      <c r="R102" s="632"/>
      <c r="S102" s="472"/>
      <c r="T102" s="468"/>
      <c r="U102" s="468"/>
      <c r="V102" s="468"/>
      <c r="W102" s="469"/>
      <c r="X102" s="429"/>
      <c r="Y102" s="508"/>
      <c r="Z102" s="429"/>
      <c r="AA102" s="557"/>
      <c r="AB102" s="558"/>
    </row>
    <row r="103" spans="2:28" ht="15" customHeight="1">
      <c r="B103" s="35"/>
      <c r="C103" s="7"/>
      <c r="K103" s="402"/>
      <c r="L103" s="467"/>
      <c r="M103" s="468"/>
      <c r="N103" s="629"/>
      <c r="O103" s="630"/>
      <c r="P103" s="471"/>
      <c r="Q103" s="631"/>
      <c r="R103" s="632"/>
      <c r="S103" s="472"/>
      <c r="T103" s="468"/>
      <c r="U103" s="468"/>
      <c r="V103" s="468"/>
      <c r="W103" s="469"/>
      <c r="X103" s="429"/>
      <c r="Y103" s="508"/>
      <c r="Z103" s="429"/>
      <c r="AA103" s="557"/>
      <c r="AB103" s="558"/>
    </row>
    <row r="104" spans="2:28" ht="15" customHeight="1">
      <c r="B104" s="35"/>
      <c r="C104" s="7"/>
      <c r="K104" s="402"/>
      <c r="L104" s="467"/>
      <c r="M104" s="468"/>
      <c r="N104" s="629"/>
      <c r="O104" s="630"/>
      <c r="P104" s="471"/>
      <c r="Q104" s="631"/>
      <c r="R104" s="632"/>
      <c r="S104" s="472"/>
      <c r="T104" s="468"/>
      <c r="U104" s="468"/>
      <c r="V104" s="468"/>
      <c r="W104" s="469"/>
      <c r="X104" s="429"/>
      <c r="Y104" s="508"/>
      <c r="Z104" s="429"/>
      <c r="AA104" s="557"/>
      <c r="AB104" s="558"/>
    </row>
    <row r="105" spans="2:28" ht="15" customHeight="1">
      <c r="B105" s="35"/>
      <c r="C105" s="7"/>
      <c r="K105" s="402"/>
      <c r="L105" s="401"/>
      <c r="M105" s="12"/>
      <c r="N105" s="644"/>
      <c r="O105" s="645"/>
      <c r="P105" s="419"/>
      <c r="Q105" s="636"/>
      <c r="R105" s="637"/>
      <c r="S105" s="12"/>
      <c r="T105" s="12"/>
      <c r="U105" s="584"/>
      <c r="V105" s="12"/>
      <c r="W105" s="395"/>
      <c r="X105" s="429"/>
      <c r="Y105" s="254"/>
      <c r="Z105" s="429"/>
      <c r="AA105" s="508"/>
      <c r="AB105" s="505"/>
    </row>
    <row r="106" spans="2:28" ht="15" customHeight="1">
      <c r="B106" s="35"/>
      <c r="C106" s="7"/>
      <c r="K106" s="402"/>
      <c r="L106" s="401"/>
      <c r="M106" s="12"/>
      <c r="N106" s="644"/>
      <c r="O106" s="645"/>
      <c r="P106" s="419"/>
      <c r="Q106" s="636"/>
      <c r="R106" s="637"/>
      <c r="S106" s="12"/>
      <c r="T106" s="12"/>
      <c r="U106" s="12"/>
      <c r="V106" s="12"/>
      <c r="W106" s="395"/>
      <c r="X106" s="429"/>
      <c r="Y106" s="565"/>
      <c r="Z106" s="491"/>
      <c r="AA106" s="512"/>
      <c r="AB106" s="505"/>
    </row>
    <row r="107" spans="2:28" ht="15" customHeight="1">
      <c r="B107" s="35"/>
      <c r="C107" s="7"/>
      <c r="K107" s="402"/>
      <c r="L107" s="400"/>
      <c r="M107" s="12"/>
      <c r="N107" s="629"/>
      <c r="O107" s="630"/>
      <c r="P107" s="419"/>
      <c r="Q107" s="636"/>
      <c r="R107" s="637"/>
      <c r="S107" s="421"/>
      <c r="T107" s="12"/>
      <c r="U107" s="12"/>
      <c r="V107" s="12"/>
      <c r="W107" s="395"/>
      <c r="X107" s="429"/>
      <c r="Y107" s="395"/>
      <c r="Z107" s="491"/>
      <c r="AA107" s="508"/>
      <c r="AB107" s="505"/>
    </row>
    <row r="108" spans="2:28" ht="15" customHeight="1">
      <c r="B108" s="35"/>
      <c r="C108" s="7"/>
      <c r="K108" s="402"/>
      <c r="L108" s="400"/>
      <c r="M108" s="12"/>
      <c r="N108" s="629"/>
      <c r="O108" s="630"/>
      <c r="P108" s="419"/>
      <c r="Q108" s="631"/>
      <c r="R108" s="632"/>
      <c r="S108" s="421"/>
      <c r="T108" s="12"/>
      <c r="U108" s="12"/>
      <c r="V108" s="12"/>
      <c r="W108" s="254"/>
      <c r="X108" s="254"/>
      <c r="Y108" s="254"/>
      <c r="Z108" s="429"/>
      <c r="AA108" s="507"/>
      <c r="AB108" s="504"/>
    </row>
    <row r="109" spans="2:28" ht="15" customHeight="1">
      <c r="B109" s="35"/>
      <c r="C109" s="7"/>
      <c r="K109" s="402"/>
      <c r="L109" s="400"/>
      <c r="M109" s="12"/>
      <c r="N109" s="629"/>
      <c r="O109" s="630"/>
      <c r="P109" s="419"/>
      <c r="Q109" s="644"/>
      <c r="R109" s="645"/>
      <c r="S109" s="421"/>
      <c r="T109" s="12"/>
      <c r="U109" s="12"/>
      <c r="V109" s="12"/>
      <c r="W109" s="254"/>
      <c r="X109" s="254"/>
      <c r="Y109" s="254"/>
      <c r="Z109" s="429"/>
      <c r="AA109" s="507"/>
      <c r="AB109" s="504"/>
    </row>
    <row r="110" spans="2:28" ht="15" customHeight="1">
      <c r="B110" s="35"/>
      <c r="C110" s="7"/>
      <c r="K110" s="402"/>
      <c r="L110" s="416"/>
      <c r="M110" s="415"/>
      <c r="N110" s="629"/>
      <c r="O110" s="630"/>
      <c r="P110" s="420"/>
      <c r="Q110" s="648"/>
      <c r="R110" s="649"/>
      <c r="S110" s="422"/>
      <c r="T110" s="415"/>
      <c r="U110" s="415"/>
      <c r="V110" s="415"/>
      <c r="W110" s="578"/>
      <c r="X110" s="578"/>
      <c r="Y110" s="578"/>
      <c r="Z110" s="573"/>
      <c r="AA110" s="507"/>
      <c r="AB110" s="504"/>
    </row>
    <row r="111" spans="2:28" ht="15" customHeight="1" thickBot="1">
      <c r="B111" s="7"/>
      <c r="C111" s="7"/>
      <c r="K111" s="403"/>
      <c r="L111" s="425"/>
      <c r="M111" s="426"/>
      <c r="N111" s="640"/>
      <c r="O111" s="641"/>
      <c r="P111" s="427"/>
      <c r="Q111" s="642"/>
      <c r="R111" s="643"/>
      <c r="S111" s="428"/>
      <c r="T111" s="426"/>
      <c r="U111" s="426"/>
      <c r="V111" s="426"/>
      <c r="W111" s="509"/>
      <c r="X111" s="509"/>
      <c r="Y111" s="509"/>
      <c r="Z111" s="586"/>
      <c r="AA111" s="509"/>
      <c r="AB111" s="510"/>
    </row>
    <row r="112" spans="2:28">
      <c r="AA112" s="506"/>
      <c r="AB112" s="506"/>
    </row>
  </sheetData>
  <mergeCells count="249">
    <mergeCell ref="G17:H17"/>
    <mergeCell ref="N18:O18"/>
    <mergeCell ref="Q18:R18"/>
    <mergeCell ref="N25:O25"/>
    <mergeCell ref="N26:O26"/>
    <mergeCell ref="N27:O27"/>
    <mergeCell ref="N28:O28"/>
    <mergeCell ref="Q23:R23"/>
    <mergeCell ref="Q24:R24"/>
    <mergeCell ref="Q25:R25"/>
    <mergeCell ref="Q26:R26"/>
    <mergeCell ref="Q27:R27"/>
    <mergeCell ref="Q28:R28"/>
    <mergeCell ref="N23:O23"/>
    <mergeCell ref="N24:O24"/>
    <mergeCell ref="N22:O22"/>
    <mergeCell ref="P22:R22"/>
    <mergeCell ref="K21:AB21"/>
    <mergeCell ref="Q17:R17"/>
    <mergeCell ref="N78:O78"/>
    <mergeCell ref="Q78:R78"/>
    <mergeCell ref="Q54:R54"/>
    <mergeCell ref="N55:O55"/>
    <mergeCell ref="N29:O29"/>
    <mergeCell ref="Q29:R29"/>
    <mergeCell ref="N32:O32"/>
    <mergeCell ref="Q32:R32"/>
    <mergeCell ref="N58:O58"/>
    <mergeCell ref="Q58:R58"/>
    <mergeCell ref="N59:O59"/>
    <mergeCell ref="Q59:R59"/>
    <mergeCell ref="Q57:R57"/>
    <mergeCell ref="Q56:R56"/>
    <mergeCell ref="N66:O66"/>
    <mergeCell ref="Q66:R66"/>
    <mergeCell ref="N34:O34"/>
    <mergeCell ref="N75:O75"/>
    <mergeCell ref="N72:O72"/>
    <mergeCell ref="N56:O56"/>
    <mergeCell ref="N57:O57"/>
    <mergeCell ref="N40:O40"/>
    <mergeCell ref="N41:O41"/>
    <mergeCell ref="Q74:R74"/>
    <mergeCell ref="B2:C2"/>
    <mergeCell ref="B4:C4"/>
    <mergeCell ref="B6:C6"/>
    <mergeCell ref="F2:G2"/>
    <mergeCell ref="F4:G4"/>
    <mergeCell ref="F6:G6"/>
    <mergeCell ref="H4:I4"/>
    <mergeCell ref="H6:I6"/>
    <mergeCell ref="H2:I2"/>
    <mergeCell ref="Q73:R73"/>
    <mergeCell ref="Q72:R72"/>
    <mergeCell ref="Q40:R40"/>
    <mergeCell ref="Q41:R41"/>
    <mergeCell ref="Q53:R53"/>
    <mergeCell ref="Q33:R33"/>
    <mergeCell ref="Q47:R47"/>
    <mergeCell ref="Q70:R70"/>
    <mergeCell ref="Q39:R39"/>
    <mergeCell ref="Q43:R43"/>
    <mergeCell ref="Q71:R71"/>
    <mergeCell ref="N6:O6"/>
    <mergeCell ref="N7:O7"/>
    <mergeCell ref="N8:O8"/>
    <mergeCell ref="N9:O9"/>
    <mergeCell ref="N10:O10"/>
    <mergeCell ref="N11:O11"/>
    <mergeCell ref="Q7:R7"/>
    <mergeCell ref="Q8:R8"/>
    <mergeCell ref="Q9:R9"/>
    <mergeCell ref="Q10:R10"/>
    <mergeCell ref="Q11:R11"/>
    <mergeCell ref="Q6:R6"/>
    <mergeCell ref="N15:O15"/>
    <mergeCell ref="N13:O13"/>
    <mergeCell ref="Q13:R13"/>
    <mergeCell ref="N14:O14"/>
    <mergeCell ref="Q14:R14"/>
    <mergeCell ref="N16:O16"/>
    <mergeCell ref="N17:O17"/>
    <mergeCell ref="Q15:R15"/>
    <mergeCell ref="Q16:R16"/>
    <mergeCell ref="G14:H14"/>
    <mergeCell ref="G15:H15"/>
    <mergeCell ref="G16:H16"/>
    <mergeCell ref="D12:E12"/>
    <mergeCell ref="D14:E14"/>
    <mergeCell ref="D16:E16"/>
    <mergeCell ref="K2:AB2"/>
    <mergeCell ref="N12:O12"/>
    <mergeCell ref="Q12:R12"/>
    <mergeCell ref="W4:W5"/>
    <mergeCell ref="X4:X5"/>
    <mergeCell ref="Y4:Y5"/>
    <mergeCell ref="Z4:Z5"/>
    <mergeCell ref="AA4:AA5"/>
    <mergeCell ref="AB4:AB5"/>
    <mergeCell ref="K4:K5"/>
    <mergeCell ref="L4:L5"/>
    <mergeCell ref="M4:M5"/>
    <mergeCell ref="P4:R5"/>
    <mergeCell ref="N4:O5"/>
    <mergeCell ref="S4:S5"/>
    <mergeCell ref="T4:T5"/>
    <mergeCell ref="U4:U5"/>
    <mergeCell ref="V4:V5"/>
    <mergeCell ref="N60:O60"/>
    <mergeCell ref="Q60:R60"/>
    <mergeCell ref="N64:O64"/>
    <mergeCell ref="Q64:R64"/>
    <mergeCell ref="N62:O62"/>
    <mergeCell ref="Q62:R62"/>
    <mergeCell ref="B8:C8"/>
    <mergeCell ref="E21:I21"/>
    <mergeCell ref="N20:O20"/>
    <mergeCell ref="Q20:R20"/>
    <mergeCell ref="N35:O35"/>
    <mergeCell ref="Q35:R35"/>
    <mergeCell ref="N36:O36"/>
    <mergeCell ref="Q36:R36"/>
    <mergeCell ref="N37:O37"/>
    <mergeCell ref="Q37:R37"/>
    <mergeCell ref="N33:O33"/>
    <mergeCell ref="B12:C12"/>
    <mergeCell ref="B10:C10"/>
    <mergeCell ref="B14:C14"/>
    <mergeCell ref="B16:C16"/>
    <mergeCell ref="B18:C18"/>
    <mergeCell ref="G12:H12"/>
    <mergeCell ref="G13:H13"/>
    <mergeCell ref="N90:O90"/>
    <mergeCell ref="Q81:R81"/>
    <mergeCell ref="N39:O39"/>
    <mergeCell ref="N54:O54"/>
    <mergeCell ref="N44:O44"/>
    <mergeCell ref="N30:O30"/>
    <mergeCell ref="Q30:R30"/>
    <mergeCell ref="N31:O31"/>
    <mergeCell ref="Q31:R31"/>
    <mergeCell ref="N38:O38"/>
    <mergeCell ref="Q38:R38"/>
    <mergeCell ref="Q34:R34"/>
    <mergeCell ref="N69:O69"/>
    <mergeCell ref="Q69:R69"/>
    <mergeCell ref="N71:O71"/>
    <mergeCell ref="N53:O53"/>
    <mergeCell ref="N42:O42"/>
    <mergeCell ref="Q42:R42"/>
    <mergeCell ref="N67:O67"/>
    <mergeCell ref="N47:O47"/>
    <mergeCell ref="Q52:R52"/>
    <mergeCell ref="Q44:R44"/>
    <mergeCell ref="Q55:R55"/>
    <mergeCell ref="N43:O43"/>
    <mergeCell ref="Q75:R75"/>
    <mergeCell ref="N45:O45"/>
    <mergeCell ref="Q45:R45"/>
    <mergeCell ref="N46:O46"/>
    <mergeCell ref="Q46:R46"/>
    <mergeCell ref="N48:O48"/>
    <mergeCell ref="Q48:R48"/>
    <mergeCell ref="N49:O49"/>
    <mergeCell ref="Q49:R49"/>
    <mergeCell ref="N61:O61"/>
    <mergeCell ref="Q61:R61"/>
    <mergeCell ref="N63:O63"/>
    <mergeCell ref="Q63:R63"/>
    <mergeCell ref="N65:O65"/>
    <mergeCell ref="Q65:R65"/>
    <mergeCell ref="N68:O68"/>
    <mergeCell ref="Q68:R68"/>
    <mergeCell ref="N70:O70"/>
    <mergeCell ref="N73:O73"/>
    <mergeCell ref="N50:O50"/>
    <mergeCell ref="Q50:R50"/>
    <mergeCell ref="N51:O51"/>
    <mergeCell ref="Q51:R51"/>
    <mergeCell ref="N52:O52"/>
    <mergeCell ref="N110:O110"/>
    <mergeCell ref="Q109:R109"/>
    <mergeCell ref="Q110:R110"/>
    <mergeCell ref="N109:O109"/>
    <mergeCell ref="N94:O94"/>
    <mergeCell ref="Q94:R94"/>
    <mergeCell ref="Q97:R97"/>
    <mergeCell ref="N105:O105"/>
    <mergeCell ref="Q105:R105"/>
    <mergeCell ref="N107:O107"/>
    <mergeCell ref="Q107:R107"/>
    <mergeCell ref="N108:O108"/>
    <mergeCell ref="Q103:R103"/>
    <mergeCell ref="Q104:R104"/>
    <mergeCell ref="N98:O98"/>
    <mergeCell ref="Q98:R98"/>
    <mergeCell ref="N102:O102"/>
    <mergeCell ref="N103:O103"/>
    <mergeCell ref="N104:O104"/>
    <mergeCell ref="Q99:R99"/>
    <mergeCell ref="Q102:R102"/>
    <mergeCell ref="N111:O111"/>
    <mergeCell ref="Q111:R111"/>
    <mergeCell ref="N106:O106"/>
    <mergeCell ref="Q106:R106"/>
    <mergeCell ref="Q91:R91"/>
    <mergeCell ref="N74:O74"/>
    <mergeCell ref="N95:O95"/>
    <mergeCell ref="Q95:R95"/>
    <mergeCell ref="Q79:R79"/>
    <mergeCell ref="N83:O83"/>
    <mergeCell ref="Q83:R83"/>
    <mergeCell ref="Q84:R84"/>
    <mergeCell ref="Q108:R108"/>
    <mergeCell ref="N97:O97"/>
    <mergeCell ref="N76:O76"/>
    <mergeCell ref="Q76:R76"/>
    <mergeCell ref="N92:O92"/>
    <mergeCell ref="Q92:R92"/>
    <mergeCell ref="N77:O77"/>
    <mergeCell ref="Q77:R77"/>
    <mergeCell ref="N89:O89"/>
    <mergeCell ref="N96:O96"/>
    <mergeCell ref="Q96:R96"/>
    <mergeCell ref="Q89:R89"/>
    <mergeCell ref="N79:O79"/>
    <mergeCell ref="N99:O99"/>
    <mergeCell ref="N100:O100"/>
    <mergeCell ref="N101:O101"/>
    <mergeCell ref="Q100:R100"/>
    <mergeCell ref="Q101:R101"/>
    <mergeCell ref="N93:O93"/>
    <mergeCell ref="Q93:R93"/>
    <mergeCell ref="N91:O91"/>
    <mergeCell ref="N84:O84"/>
    <mergeCell ref="N85:O85"/>
    <mergeCell ref="N88:O88"/>
    <mergeCell ref="Q82:R82"/>
    <mergeCell ref="N87:O87"/>
    <mergeCell ref="Q90:R90"/>
    <mergeCell ref="N80:O80"/>
    <mergeCell ref="Q80:R80"/>
    <mergeCell ref="N86:O86"/>
    <mergeCell ref="Q86:R86"/>
    <mergeCell ref="Q87:R87"/>
    <mergeCell ref="Q88:R88"/>
    <mergeCell ref="N81:O81"/>
    <mergeCell ref="N82:O82"/>
    <mergeCell ref="Q85:R85"/>
  </mergeCells>
  <pageMargins left="0.75" right="0.75" top="1" bottom="1" header="0.511811023622047" footer="0.511811023622047"/>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V40"/>
  <sheetViews>
    <sheetView showGridLines="0" tabSelected="1" view="pageBreakPreview" zoomScaleSheetLayoutView="100" zoomScalePageLayoutView="80" workbookViewId="0">
      <selection activeCell="T11" sqref="T11"/>
    </sheetView>
  </sheetViews>
  <sheetFormatPr defaultColWidth="8.7109375" defaultRowHeight="12.75"/>
  <cols>
    <col min="1" max="1" width="3.7109375" customWidth="1"/>
    <col min="2" max="2" width="24.42578125" customWidth="1"/>
    <col min="3" max="3" width="19.5703125" style="37" customWidth="1"/>
    <col min="4" max="5" width="12.7109375" style="37" customWidth="1"/>
    <col min="6" max="6" width="12.7109375" customWidth="1"/>
    <col min="7" max="7" width="12.7109375" style="38" customWidth="1"/>
    <col min="9" max="16" width="11.5703125" hidden="1" customWidth="1"/>
  </cols>
  <sheetData>
    <row r="1" spans="1:22" ht="21.75" customHeight="1">
      <c r="A1" s="39"/>
      <c r="B1" s="40"/>
      <c r="C1" s="41"/>
      <c r="D1" s="41"/>
      <c r="E1" s="41"/>
      <c r="F1" s="42"/>
      <c r="G1" s="43"/>
    </row>
    <row r="2" spans="1:22" ht="23.25">
      <c r="A2" s="735" t="s">
        <v>928</v>
      </c>
      <c r="B2" s="735"/>
      <c r="C2" s="735"/>
      <c r="D2" s="735"/>
      <c r="E2" s="735"/>
      <c r="F2" s="735"/>
      <c r="G2" s="735"/>
    </row>
    <row r="3" spans="1:22">
      <c r="A3" s="44"/>
      <c r="G3" s="45"/>
    </row>
    <row r="4" spans="1:22" s="49" customFormat="1" ht="12.75" customHeight="1">
      <c r="A4" s="736" t="s">
        <v>352</v>
      </c>
      <c r="B4" s="736"/>
      <c r="C4" s="46" t="s">
        <v>353</v>
      </c>
      <c r="D4" s="47"/>
      <c r="E4" s="48" t="s">
        <v>354</v>
      </c>
      <c r="F4" s="736" t="s">
        <v>355</v>
      </c>
      <c r="G4" s="736"/>
    </row>
    <row r="5" spans="1:22" s="51" customFormat="1" ht="12.75" customHeight="1">
      <c r="A5" s="734" t="str">
        <f>Input!D2</f>
        <v>HANNA</v>
      </c>
      <c r="B5" s="734"/>
      <c r="C5" s="734" t="str">
        <f>Input!H2</f>
        <v>5BGV2</v>
      </c>
      <c r="D5" s="734"/>
      <c r="E5" s="50" t="str">
        <f>Input!D12</f>
        <v>Napoli</v>
      </c>
      <c r="F5" s="737">
        <f>Input!D8</f>
        <v>46167</v>
      </c>
      <c r="G5" s="734"/>
    </row>
    <row r="6" spans="1:22" s="49" customFormat="1" ht="12.75" customHeight="1">
      <c r="A6" s="730" t="s">
        <v>356</v>
      </c>
      <c r="B6" s="730"/>
      <c r="C6" s="52" t="s">
        <v>357</v>
      </c>
      <c r="D6" s="730" t="s">
        <v>358</v>
      </c>
      <c r="E6" s="730"/>
      <c r="F6" s="731" t="s">
        <v>359</v>
      </c>
      <c r="G6" s="731"/>
    </row>
    <row r="7" spans="1:22" ht="12.75" customHeight="1">
      <c r="A7" s="732" t="str">
        <f>Input!D4</f>
        <v>Cyprus</v>
      </c>
      <c r="B7" s="732"/>
      <c r="C7" s="53" t="str">
        <f>Input!H4</f>
        <v>Limassol</v>
      </c>
      <c r="D7" s="733" t="str">
        <f>Input!D14</f>
        <v>Alger</v>
      </c>
      <c r="E7" s="733"/>
      <c r="F7" s="734" t="str">
        <f>Input!D16</f>
        <v>La Spezia</v>
      </c>
      <c r="G7" s="734"/>
      <c r="S7" s="10"/>
    </row>
    <row r="8" spans="1:22" ht="12.75" customHeight="1">
      <c r="A8" s="727" t="s">
        <v>360</v>
      </c>
      <c r="B8" s="728" t="s">
        <v>361</v>
      </c>
      <c r="C8" s="728" t="s">
        <v>362</v>
      </c>
      <c r="D8" s="54" t="s">
        <v>363</v>
      </c>
      <c r="E8" s="54" t="s">
        <v>364</v>
      </c>
      <c r="F8" s="55" t="s">
        <v>365</v>
      </c>
      <c r="G8" s="56" t="s">
        <v>366</v>
      </c>
    </row>
    <row r="9" spans="1:22" s="49" customFormat="1" ht="12.75" customHeight="1" thickBot="1">
      <c r="A9" s="727"/>
      <c r="B9" s="728"/>
      <c r="C9" s="728"/>
      <c r="D9" s="57"/>
      <c r="E9" s="58" t="s">
        <v>367</v>
      </c>
      <c r="F9" s="59"/>
      <c r="G9" s="58" t="s">
        <v>367</v>
      </c>
    </row>
    <row r="10" spans="1:22" ht="30" customHeight="1">
      <c r="A10" s="65">
        <v>1</v>
      </c>
      <c r="B10" s="593" t="s">
        <v>900</v>
      </c>
      <c r="C10" s="384" t="s">
        <v>906</v>
      </c>
      <c r="D10" s="594">
        <v>46161</v>
      </c>
      <c r="E10" s="595" t="s">
        <v>1017</v>
      </c>
      <c r="F10" s="594">
        <v>46166</v>
      </c>
      <c r="G10" s="596" t="s">
        <v>1018</v>
      </c>
      <c r="H10" s="454" t="s">
        <v>907</v>
      </c>
      <c r="I10" s="61"/>
      <c r="J10" s="62"/>
      <c r="K10" s="63"/>
      <c r="L10" s="61"/>
      <c r="M10" s="64"/>
      <c r="N10" s="63"/>
      <c r="O10" s="61"/>
      <c r="P10" s="64"/>
      <c r="R10" s="61"/>
      <c r="S10" s="66"/>
      <c r="T10" s="63"/>
      <c r="U10" s="61"/>
      <c r="V10" s="64"/>
    </row>
    <row r="11" spans="1:22" ht="30" customHeight="1">
      <c r="A11" s="65">
        <v>2</v>
      </c>
      <c r="B11" s="593" t="s">
        <v>914</v>
      </c>
      <c r="C11" s="384" t="s">
        <v>633</v>
      </c>
      <c r="D11" s="594">
        <v>46153</v>
      </c>
      <c r="E11" s="595" t="s">
        <v>1010</v>
      </c>
      <c r="F11" s="594">
        <v>46154</v>
      </c>
      <c r="G11" s="595" t="s">
        <v>1016</v>
      </c>
      <c r="H11" s="454" t="s">
        <v>915</v>
      </c>
      <c r="I11" s="61"/>
      <c r="J11" s="62"/>
      <c r="K11" s="63"/>
      <c r="L11" s="61"/>
      <c r="M11" s="64"/>
      <c r="N11" s="63"/>
      <c r="O11" s="61"/>
      <c r="P11" s="64"/>
      <c r="R11" s="61"/>
      <c r="S11" s="66"/>
      <c r="T11" s="63"/>
      <c r="U11" s="61"/>
      <c r="V11" s="64"/>
    </row>
    <row r="12" spans="1:22" ht="30" customHeight="1">
      <c r="A12" s="65">
        <v>3</v>
      </c>
      <c r="B12" s="593" t="s">
        <v>908</v>
      </c>
      <c r="C12" s="384" t="s">
        <v>909</v>
      </c>
      <c r="D12" s="594">
        <v>46151</v>
      </c>
      <c r="E12" s="595" t="s">
        <v>1008</v>
      </c>
      <c r="F12" s="594">
        <v>46152</v>
      </c>
      <c r="G12" s="596" t="s">
        <v>1009</v>
      </c>
      <c r="H12" s="454" t="s">
        <v>910</v>
      </c>
      <c r="I12" s="61"/>
      <c r="J12" s="62"/>
      <c r="K12" s="63"/>
      <c r="L12" s="61"/>
      <c r="M12" s="64"/>
      <c r="N12" s="63"/>
      <c r="O12" s="61"/>
      <c r="P12" s="64"/>
      <c r="R12" s="61"/>
      <c r="S12" s="66"/>
      <c r="T12" s="63"/>
      <c r="U12" s="61"/>
      <c r="V12" s="64"/>
    </row>
    <row r="13" spans="1:22" ht="30" customHeight="1">
      <c r="A13" s="65">
        <v>4</v>
      </c>
      <c r="B13" s="593" t="s">
        <v>911</v>
      </c>
      <c r="C13" s="384" t="s">
        <v>909</v>
      </c>
      <c r="D13" s="594">
        <v>46150</v>
      </c>
      <c r="E13" s="595" t="s">
        <v>1006</v>
      </c>
      <c r="F13" s="594">
        <v>46151</v>
      </c>
      <c r="G13" s="595" t="s">
        <v>1007</v>
      </c>
      <c r="H13" s="454" t="s">
        <v>912</v>
      </c>
      <c r="I13" s="61"/>
      <c r="J13" s="62"/>
      <c r="K13" s="63"/>
      <c r="L13" s="61"/>
      <c r="M13" s="64"/>
      <c r="N13" s="63"/>
      <c r="O13" s="61"/>
      <c r="P13" s="64"/>
      <c r="R13" s="61"/>
      <c r="S13" s="66"/>
      <c r="T13" s="63"/>
      <c r="U13" s="61"/>
      <c r="V13" s="64"/>
    </row>
    <row r="14" spans="1:22" ht="30" customHeight="1">
      <c r="A14" s="65">
        <v>5</v>
      </c>
      <c r="B14" s="593" t="s">
        <v>1002</v>
      </c>
      <c r="C14" s="384" t="s">
        <v>909</v>
      </c>
      <c r="D14" s="594">
        <v>46149</v>
      </c>
      <c r="E14" s="595" t="s">
        <v>1003</v>
      </c>
      <c r="F14" s="594">
        <v>46149</v>
      </c>
      <c r="G14" s="596" t="s">
        <v>1004</v>
      </c>
      <c r="H14" s="454" t="s">
        <v>1005</v>
      </c>
      <c r="I14" s="61"/>
      <c r="J14" s="62"/>
      <c r="K14" s="63"/>
      <c r="L14" s="61"/>
      <c r="M14" s="64"/>
      <c r="N14" s="63"/>
      <c r="O14" s="61"/>
      <c r="P14" s="64"/>
      <c r="R14" s="61"/>
      <c r="S14" s="66"/>
      <c r="T14" s="63"/>
      <c r="U14" s="61"/>
      <c r="V14" s="64"/>
    </row>
    <row r="15" spans="1:22" ht="30" customHeight="1">
      <c r="A15" s="65">
        <v>6</v>
      </c>
      <c r="B15" s="593" t="s">
        <v>980</v>
      </c>
      <c r="C15" s="384" t="s">
        <v>909</v>
      </c>
      <c r="D15" s="594">
        <v>46144</v>
      </c>
      <c r="E15" s="595" t="s">
        <v>1000</v>
      </c>
      <c r="F15" s="594">
        <v>46144</v>
      </c>
      <c r="G15" s="596" t="s">
        <v>984</v>
      </c>
      <c r="H15" s="454" t="s">
        <v>979</v>
      </c>
      <c r="I15" s="61"/>
      <c r="J15" s="62"/>
      <c r="K15" s="63"/>
      <c r="L15" s="61"/>
      <c r="M15" s="64"/>
      <c r="N15" s="63"/>
      <c r="O15" s="61"/>
      <c r="P15" s="64"/>
      <c r="R15" s="61"/>
      <c r="S15" s="66"/>
      <c r="T15" s="63"/>
      <c r="U15" s="61"/>
      <c r="V15" s="64"/>
    </row>
    <row r="16" spans="1:22" ht="30" customHeight="1">
      <c r="A16" s="65">
        <v>7</v>
      </c>
      <c r="B16" s="593" t="s">
        <v>900</v>
      </c>
      <c r="C16" s="384" t="s">
        <v>906</v>
      </c>
      <c r="D16" s="594">
        <v>46136</v>
      </c>
      <c r="E16" s="595" t="s">
        <v>988</v>
      </c>
      <c r="F16" s="594">
        <v>46140</v>
      </c>
      <c r="G16" s="596" t="s">
        <v>991</v>
      </c>
      <c r="H16" s="454" t="s">
        <v>907</v>
      </c>
      <c r="I16" s="61"/>
      <c r="J16" s="62"/>
      <c r="K16" s="63"/>
      <c r="L16" s="61"/>
      <c r="M16" s="64"/>
      <c r="N16" s="63"/>
      <c r="O16" s="61"/>
      <c r="P16" s="64"/>
      <c r="R16" s="61"/>
      <c r="S16" s="66"/>
      <c r="T16" s="63"/>
      <c r="U16" s="61"/>
      <c r="V16" s="64"/>
    </row>
    <row r="17" spans="1:22" ht="30" customHeight="1">
      <c r="A17" s="65">
        <v>8</v>
      </c>
      <c r="B17" s="593" t="s">
        <v>914</v>
      </c>
      <c r="C17" s="384" t="s">
        <v>633</v>
      </c>
      <c r="D17" s="594">
        <v>46130</v>
      </c>
      <c r="E17" s="595" t="s">
        <v>985</v>
      </c>
      <c r="F17" s="594">
        <v>46133</v>
      </c>
      <c r="G17" s="595" t="s">
        <v>986</v>
      </c>
      <c r="H17" s="454" t="s">
        <v>915</v>
      </c>
      <c r="I17" s="61"/>
      <c r="J17" s="62"/>
      <c r="K17" s="63"/>
      <c r="L17" s="61"/>
      <c r="M17" s="64"/>
      <c r="N17" s="63"/>
      <c r="O17" s="61"/>
      <c r="P17" s="64"/>
      <c r="R17" s="61"/>
      <c r="S17" s="66"/>
      <c r="T17" s="63"/>
      <c r="U17" s="61"/>
      <c r="V17" s="64"/>
    </row>
    <row r="18" spans="1:22" ht="30" customHeight="1">
      <c r="A18" s="65">
        <v>9</v>
      </c>
      <c r="B18" s="593" t="s">
        <v>911</v>
      </c>
      <c r="C18" s="384" t="s">
        <v>909</v>
      </c>
      <c r="D18" s="594">
        <v>46129</v>
      </c>
      <c r="E18" s="595" t="s">
        <v>983</v>
      </c>
      <c r="F18" s="594">
        <v>46129</v>
      </c>
      <c r="G18" s="595" t="s">
        <v>984</v>
      </c>
      <c r="H18" s="454" t="s">
        <v>912</v>
      </c>
      <c r="I18" s="61"/>
      <c r="J18" s="62"/>
      <c r="K18" s="63"/>
      <c r="L18" s="61"/>
      <c r="M18" s="64"/>
      <c r="N18" s="63"/>
      <c r="O18" s="61"/>
      <c r="P18" s="64"/>
      <c r="R18" s="61"/>
      <c r="S18" s="66"/>
      <c r="T18" s="63"/>
      <c r="U18" s="61"/>
      <c r="V18" s="64"/>
    </row>
    <row r="19" spans="1:22" ht="30" customHeight="1">
      <c r="A19" s="65">
        <v>10</v>
      </c>
      <c r="B19" s="593" t="s">
        <v>908</v>
      </c>
      <c r="C19" s="384" t="s">
        <v>909</v>
      </c>
      <c r="D19" s="594">
        <v>46126</v>
      </c>
      <c r="E19" s="595" t="s">
        <v>981</v>
      </c>
      <c r="F19" s="594">
        <v>46129</v>
      </c>
      <c r="G19" s="595" t="s">
        <v>982</v>
      </c>
      <c r="H19" s="454" t="s">
        <v>910</v>
      </c>
      <c r="I19" s="61"/>
      <c r="J19" s="62"/>
      <c r="K19" s="63"/>
      <c r="L19" s="61"/>
      <c r="M19" s="64"/>
      <c r="N19" s="63"/>
      <c r="O19" s="61"/>
      <c r="P19" s="64"/>
      <c r="R19" s="61"/>
      <c r="S19" s="66"/>
      <c r="T19" s="63"/>
      <c r="U19" s="61"/>
      <c r="V19" s="64"/>
    </row>
    <row r="20" spans="1:22" ht="30" customHeight="1">
      <c r="A20" s="65"/>
      <c r="B20" s="593"/>
      <c r="C20" s="384"/>
      <c r="D20" s="594"/>
      <c r="E20" s="595"/>
      <c r="F20" s="594"/>
      <c r="G20" s="595"/>
      <c r="H20" s="454"/>
      <c r="I20" s="61"/>
      <c r="J20" s="62"/>
      <c r="K20" s="63"/>
      <c r="L20" s="61"/>
      <c r="M20" s="64"/>
      <c r="N20" s="63"/>
      <c r="O20" s="61"/>
      <c r="P20" s="64"/>
      <c r="R20" s="61"/>
      <c r="S20" s="66"/>
      <c r="T20" s="63"/>
      <c r="U20" s="61"/>
      <c r="V20" s="64"/>
    </row>
    <row r="21" spans="1:22" ht="21.75" customHeight="1">
      <c r="A21" s="627"/>
      <c r="B21" s="624"/>
      <c r="C21" s="624"/>
      <c r="D21" s="625"/>
      <c r="E21" s="626"/>
      <c r="F21" s="625"/>
      <c r="G21" s="628"/>
      <c r="I21" s="61"/>
      <c r="J21" s="62"/>
      <c r="K21" s="63"/>
      <c r="L21" s="61"/>
      <c r="M21" s="64"/>
      <c r="N21" s="63"/>
      <c r="O21" s="61"/>
      <c r="P21" s="64"/>
      <c r="R21" s="61"/>
      <c r="S21" s="66"/>
      <c r="T21" s="63"/>
      <c r="U21" s="61"/>
      <c r="V21" s="64"/>
    </row>
    <row r="22" spans="1:22" ht="21.75" customHeight="1">
      <c r="A22" s="387"/>
      <c r="B22" s="63"/>
      <c r="C22" s="61"/>
      <c r="D22" s="61"/>
      <c r="E22" s="64"/>
      <c r="F22" s="61"/>
      <c r="G22" s="67"/>
      <c r="I22" s="61"/>
      <c r="J22" s="62"/>
      <c r="K22" s="63"/>
      <c r="L22" s="61"/>
      <c r="M22" s="64"/>
      <c r="N22" s="63"/>
      <c r="O22" s="61"/>
      <c r="P22" s="64"/>
      <c r="R22" s="61"/>
      <c r="S22" s="66"/>
      <c r="T22" s="63"/>
      <c r="U22" s="61"/>
      <c r="V22" s="64"/>
    </row>
    <row r="23" spans="1:22" ht="21.75" customHeight="1">
      <c r="A23" s="387"/>
      <c r="B23" s="63"/>
      <c r="C23" s="61"/>
      <c r="D23" s="61"/>
      <c r="E23" s="64"/>
      <c r="F23" s="61"/>
      <c r="G23" s="67"/>
      <c r="I23" s="61"/>
      <c r="J23" s="62"/>
      <c r="K23" s="63"/>
      <c r="L23" s="61"/>
      <c r="M23" s="64"/>
      <c r="N23" s="63"/>
      <c r="O23" s="61"/>
      <c r="P23" s="64"/>
      <c r="R23" s="61"/>
      <c r="S23" s="66"/>
      <c r="T23" s="63"/>
      <c r="U23" s="61"/>
      <c r="V23" s="64"/>
    </row>
    <row r="24" spans="1:22" ht="21.75" customHeight="1">
      <c r="A24" s="387"/>
      <c r="B24" s="63"/>
      <c r="C24" s="61"/>
      <c r="D24" s="61"/>
      <c r="E24" s="64"/>
      <c r="F24" s="61"/>
      <c r="G24" s="67"/>
      <c r="I24" s="61"/>
      <c r="J24" s="62"/>
      <c r="K24" s="63"/>
      <c r="L24" s="61"/>
      <c r="M24" s="64"/>
      <c r="N24" s="63"/>
      <c r="O24" s="61"/>
      <c r="P24" s="64"/>
      <c r="R24" s="61"/>
      <c r="S24" s="66"/>
      <c r="T24" s="63"/>
      <c r="U24" s="61"/>
      <c r="V24" s="64"/>
    </row>
    <row r="25" spans="1:22" ht="18.75" customHeight="1">
      <c r="A25" s="387"/>
      <c r="B25" s="63"/>
      <c r="C25" s="61"/>
      <c r="D25" s="61"/>
      <c r="E25" s="64"/>
      <c r="F25" s="61"/>
      <c r="G25" s="45"/>
      <c r="I25" s="61"/>
      <c r="J25" s="62"/>
      <c r="K25" s="63"/>
      <c r="L25" s="61"/>
      <c r="M25" s="64"/>
      <c r="N25" s="63"/>
      <c r="O25" s="61"/>
      <c r="P25" s="64"/>
      <c r="R25" s="61"/>
      <c r="S25" s="66"/>
      <c r="T25" s="63"/>
      <c r="U25" s="61"/>
      <c r="V25" s="64"/>
    </row>
    <row r="26" spans="1:22" ht="15.75" customHeight="1">
      <c r="A26" s="388"/>
      <c r="B26" s="75"/>
      <c r="C26" s="74"/>
      <c r="D26" s="74"/>
      <c r="E26" s="76"/>
      <c r="G26" s="45"/>
      <c r="L26" s="61"/>
      <c r="M26" s="66"/>
      <c r="N26" s="63"/>
      <c r="O26" s="61"/>
      <c r="P26" s="64"/>
    </row>
    <row r="27" spans="1:22" ht="18.75" customHeight="1">
      <c r="A27" s="44"/>
      <c r="B27" s="8"/>
      <c r="E27" s="69"/>
      <c r="G27" s="45"/>
      <c r="L27" s="61"/>
      <c r="M27" s="66"/>
      <c r="N27" s="63"/>
      <c r="O27" s="61"/>
      <c r="P27" s="64"/>
    </row>
    <row r="28" spans="1:22" ht="19.5" customHeight="1">
      <c r="A28" s="44"/>
      <c r="B28" s="8"/>
      <c r="E28" s="69"/>
      <c r="F28" s="70"/>
      <c r="G28" s="68"/>
      <c r="L28" s="61"/>
      <c r="M28" s="66"/>
      <c r="N28" s="63"/>
      <c r="O28" s="61"/>
      <c r="P28" s="64"/>
    </row>
    <row r="29" spans="1:22">
      <c r="A29" s="44"/>
      <c r="B29" s="8"/>
      <c r="E29" s="69"/>
      <c r="F29" s="37"/>
      <c r="G29" s="71" t="s">
        <v>0</v>
      </c>
    </row>
    <row r="30" spans="1:22">
      <c r="A30" s="72"/>
      <c r="B30" s="73"/>
      <c r="C30" s="729" t="s">
        <v>697</v>
      </c>
      <c r="D30" s="729"/>
      <c r="E30" s="729"/>
      <c r="F30" s="729"/>
      <c r="G30" s="729"/>
    </row>
    <row r="36" spans="1:5">
      <c r="A36" s="74"/>
      <c r="B36" s="75"/>
      <c r="C36" s="74"/>
      <c r="D36" s="74"/>
      <c r="E36" s="76"/>
    </row>
    <row r="37" spans="1:5">
      <c r="A37" s="74"/>
      <c r="B37" s="77"/>
      <c r="C37" s="78"/>
      <c r="D37" s="78"/>
      <c r="E37" s="76"/>
    </row>
    <row r="38" spans="1:5">
      <c r="A38" s="74"/>
      <c r="B38" s="75"/>
      <c r="C38" s="74"/>
      <c r="D38" s="74"/>
      <c r="E38" s="76"/>
    </row>
    <row r="39" spans="1:5">
      <c r="A39" s="74"/>
      <c r="B39" s="77"/>
      <c r="C39" s="78"/>
      <c r="D39" s="78"/>
      <c r="E39" s="76"/>
    </row>
    <row r="40" spans="1:5">
      <c r="A40" s="74"/>
      <c r="B40" s="75"/>
      <c r="C40" s="74"/>
      <c r="D40" s="74"/>
      <c r="E40" s="76"/>
    </row>
  </sheetData>
  <mergeCells count="16">
    <mergeCell ref="A2:G2"/>
    <mergeCell ref="A4:B4"/>
    <mergeCell ref="F4:G4"/>
    <mergeCell ref="A5:B5"/>
    <mergeCell ref="C5:D5"/>
    <mergeCell ref="F5:G5"/>
    <mergeCell ref="A8:A9"/>
    <mergeCell ref="B8:B9"/>
    <mergeCell ref="C8:C9"/>
    <mergeCell ref="C30:G30"/>
    <mergeCell ref="A6:B6"/>
    <mergeCell ref="D6:E6"/>
    <mergeCell ref="F6:G6"/>
    <mergeCell ref="A7:B7"/>
    <mergeCell ref="D7:E7"/>
    <mergeCell ref="F7:G7"/>
  </mergeCells>
  <printOptions horizontalCentered="1"/>
  <pageMargins left="0.78740157480314965" right="0.39370078740157483" top="0.98425196850393704" bottom="0.39370078740157483" header="0.51181102362204722" footer="0.51181102362204722"/>
  <pageSetup paperSize="9" scale="91"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249977111117893"/>
    <pageSetUpPr fitToPage="1"/>
  </sheetPr>
  <dimension ref="A1:AMJ29"/>
  <sheetViews>
    <sheetView view="pageBreakPreview" workbookViewId="0">
      <selection activeCell="H13" sqref="H13"/>
    </sheetView>
  </sheetViews>
  <sheetFormatPr defaultColWidth="8.85546875" defaultRowHeight="12.75"/>
  <cols>
    <col min="1" max="1" width="0.7109375" style="1" customWidth="1"/>
    <col min="2" max="2" width="3.7109375" style="1" customWidth="1"/>
    <col min="3" max="3" width="16.7109375" style="1" customWidth="1"/>
    <col min="4" max="4" width="25" style="1" customWidth="1"/>
    <col min="5" max="5" width="8.7109375" style="1" customWidth="1"/>
    <col min="6" max="6" width="11.85546875" style="1" customWidth="1"/>
    <col min="7" max="7" width="7.85546875" style="1" customWidth="1"/>
    <col min="8" max="8" width="13" style="1" customWidth="1"/>
    <col min="9" max="9" width="7.140625" style="1" customWidth="1"/>
    <col min="10" max="12" width="6.7109375" style="1" customWidth="1"/>
    <col min="13" max="13" width="10.7109375" style="1" customWidth="1"/>
    <col min="14" max="16" width="6.7109375" style="1" customWidth="1"/>
    <col min="17" max="18" width="10.7109375" style="1" customWidth="1"/>
    <col min="19" max="1024" width="8.85546875" style="1"/>
  </cols>
  <sheetData>
    <row r="1" spans="2:18">
      <c r="B1" s="660"/>
      <c r="C1" s="660"/>
      <c r="D1" s="660"/>
      <c r="E1" s="69"/>
    </row>
    <row r="2" spans="2:18" ht="15" customHeight="1">
      <c r="B2" s="660"/>
      <c r="C2" s="660"/>
      <c r="D2" s="660"/>
      <c r="E2" s="69"/>
      <c r="H2" s="760" t="s">
        <v>368</v>
      </c>
      <c r="I2" s="760"/>
      <c r="J2" s="760"/>
      <c r="K2" s="760"/>
      <c r="L2" s="760"/>
      <c r="O2" s="761" t="s">
        <v>369</v>
      </c>
      <c r="P2" s="761"/>
      <c r="Q2" s="761"/>
      <c r="R2" s="761"/>
    </row>
    <row r="3" spans="2:18" ht="18" customHeight="1">
      <c r="B3" s="762"/>
      <c r="C3" s="762"/>
      <c r="D3" s="762"/>
      <c r="E3" s="69"/>
      <c r="H3" s="763" t="s">
        <v>370</v>
      </c>
      <c r="I3" s="763"/>
      <c r="J3" s="763"/>
      <c r="K3" s="763"/>
      <c r="L3" s="763"/>
      <c r="N3" s="79"/>
      <c r="O3" s="764" t="s">
        <v>371</v>
      </c>
      <c r="P3" s="764"/>
      <c r="Q3" s="764"/>
      <c r="R3" s="764"/>
    </row>
    <row r="4" spans="2:18" ht="18" customHeight="1">
      <c r="B4" s="756" t="s">
        <v>371</v>
      </c>
      <c r="C4" s="756"/>
      <c r="D4" s="756"/>
      <c r="E4" s="80"/>
      <c r="F4" s="81"/>
      <c r="G4" s="81"/>
      <c r="H4" s="81"/>
      <c r="I4" s="82"/>
      <c r="J4" s="81"/>
      <c r="K4" s="81"/>
      <c r="L4" s="81"/>
      <c r="M4" s="757"/>
      <c r="N4" s="757"/>
      <c r="O4" s="758"/>
      <c r="P4" s="758"/>
      <c r="Q4" s="758"/>
      <c r="R4" s="758"/>
    </row>
    <row r="5" spans="2:18" s="83" customFormat="1" ht="19.5" customHeight="1">
      <c r="B5" s="759"/>
      <c r="C5" s="759"/>
      <c r="D5" s="759"/>
      <c r="E5" s="84"/>
      <c r="M5" s="752" t="s">
        <v>22</v>
      </c>
      <c r="N5" s="752"/>
      <c r="O5" s="754" t="str">
        <f>Input!D12</f>
        <v>Napoli</v>
      </c>
      <c r="P5" s="754"/>
      <c r="Q5" s="754"/>
      <c r="R5" s="754"/>
    </row>
    <row r="6" spans="2:18" s="83" customFormat="1" ht="19.5" customHeight="1">
      <c r="B6" s="752" t="s">
        <v>372</v>
      </c>
      <c r="C6" s="752"/>
      <c r="D6" s="752"/>
      <c r="E6" s="753" t="s">
        <v>373</v>
      </c>
      <c r="F6" s="753"/>
      <c r="J6" s="755"/>
      <c r="K6" s="755"/>
      <c r="L6" s="755"/>
      <c r="M6" s="752" t="s">
        <v>374</v>
      </c>
      <c r="N6" s="752"/>
      <c r="O6" s="754">
        <f>Input!D8</f>
        <v>46167</v>
      </c>
      <c r="P6" s="754"/>
      <c r="Q6" s="754"/>
      <c r="R6" s="754"/>
    </row>
    <row r="7" spans="2:18" s="83" customFormat="1" ht="19.5" customHeight="1">
      <c r="B7" s="752" t="s">
        <v>375</v>
      </c>
      <c r="C7" s="752"/>
      <c r="D7" s="752"/>
      <c r="E7" s="753" t="s">
        <v>6</v>
      </c>
      <c r="F7" s="753"/>
      <c r="J7" s="85"/>
      <c r="K7" s="85"/>
      <c r="L7" s="85"/>
      <c r="M7" s="752" t="s">
        <v>376</v>
      </c>
      <c r="N7" s="752"/>
      <c r="O7" s="754" t="str">
        <f>Input!D14</f>
        <v>Alger</v>
      </c>
      <c r="P7" s="754"/>
      <c r="Q7" s="754"/>
      <c r="R7" s="754"/>
    </row>
    <row r="8" spans="2:18" s="83" customFormat="1" ht="19.5" customHeight="1">
      <c r="B8" s="752" t="s">
        <v>377</v>
      </c>
      <c r="C8" s="752"/>
      <c r="D8" s="752"/>
      <c r="E8" s="753" t="s">
        <v>378</v>
      </c>
      <c r="F8" s="753"/>
      <c r="M8" s="752" t="s">
        <v>379</v>
      </c>
      <c r="N8" s="752"/>
      <c r="O8" s="753" t="str">
        <f>Input!D16</f>
        <v>La Spezia</v>
      </c>
      <c r="P8" s="753"/>
      <c r="Q8" s="753"/>
      <c r="R8" s="753"/>
    </row>
    <row r="9" spans="2:18" ht="9.75" customHeight="1">
      <c r="B9" s="86"/>
      <c r="C9" s="86"/>
      <c r="D9" s="86"/>
      <c r="E9" s="86"/>
    </row>
    <row r="10" spans="2:18" ht="15" customHeight="1">
      <c r="B10" s="747" t="s">
        <v>380</v>
      </c>
      <c r="C10" s="747"/>
      <c r="D10" s="747"/>
      <c r="E10" s="747"/>
      <c r="F10" s="751" t="s">
        <v>381</v>
      </c>
      <c r="G10" s="751"/>
      <c r="H10" s="751" t="s">
        <v>382</v>
      </c>
      <c r="I10" s="751"/>
      <c r="J10" s="751" t="s">
        <v>383</v>
      </c>
      <c r="K10" s="751"/>
      <c r="L10" s="751"/>
      <c r="M10" s="751"/>
      <c r="N10" s="751"/>
      <c r="O10" s="751" t="s">
        <v>384</v>
      </c>
      <c r="P10" s="751"/>
      <c r="Q10" s="747" t="s">
        <v>385</v>
      </c>
      <c r="R10" s="747"/>
    </row>
    <row r="11" spans="2:18" ht="15" customHeight="1">
      <c r="B11" s="748" t="s">
        <v>386</v>
      </c>
      <c r="C11" s="748"/>
      <c r="D11" s="748"/>
      <c r="E11" s="748"/>
      <c r="F11" s="751"/>
      <c r="G11" s="751"/>
      <c r="H11" s="751"/>
      <c r="I11" s="751"/>
      <c r="J11" s="751"/>
      <c r="K11" s="751"/>
      <c r="L11" s="751"/>
      <c r="M11" s="751"/>
      <c r="N11" s="751"/>
      <c r="O11" s="751"/>
      <c r="P11" s="751"/>
      <c r="Q11" s="747"/>
      <c r="R11" s="747"/>
    </row>
    <row r="12" spans="2:18" ht="15" customHeight="1">
      <c r="B12" s="749" t="s">
        <v>387</v>
      </c>
      <c r="C12" s="749"/>
      <c r="D12" s="749"/>
      <c r="E12" s="749"/>
      <c r="F12" s="87" t="s">
        <v>388</v>
      </c>
      <c r="G12" s="87" t="s">
        <v>389</v>
      </c>
      <c r="H12" s="87" t="s">
        <v>388</v>
      </c>
      <c r="I12" s="87" t="s">
        <v>389</v>
      </c>
      <c r="J12" s="87" t="s">
        <v>390</v>
      </c>
      <c r="K12" s="87" t="s">
        <v>391</v>
      </c>
      <c r="L12" s="87" t="s">
        <v>392</v>
      </c>
      <c r="M12" s="87" t="s">
        <v>388</v>
      </c>
      <c r="N12" s="87" t="s">
        <v>389</v>
      </c>
      <c r="O12" s="87" t="s">
        <v>393</v>
      </c>
      <c r="P12" s="87" t="s">
        <v>394</v>
      </c>
      <c r="Q12" s="750" t="s">
        <v>395</v>
      </c>
      <c r="R12" s="750"/>
    </row>
    <row r="13" spans="2:18" ht="27.75" customHeight="1">
      <c r="B13" s="88">
        <f>'Port of Call List'!A10</f>
        <v>1</v>
      </c>
      <c r="C13" s="372" t="str">
        <f>'Port of Call List'!B10</f>
        <v>ALGER</v>
      </c>
      <c r="D13" s="372" t="str">
        <f>'Port of Call List'!C10</f>
        <v>ALGERIA</v>
      </c>
      <c r="E13" s="89" t="str">
        <f>'Port of Call List'!H10</f>
        <v>DZALG</v>
      </c>
      <c r="F13" s="377">
        <f>'Port of Call List'!D10</f>
        <v>46161</v>
      </c>
      <c r="G13" s="378" t="str">
        <f>'Port of Call List'!E10</f>
        <v>02:00</v>
      </c>
      <c r="H13" s="377">
        <f>'Port of Call List'!F10</f>
        <v>46166</v>
      </c>
      <c r="I13" s="378" t="str">
        <f>'Port of Call List'!G10</f>
        <v>09:00</v>
      </c>
      <c r="J13" s="60">
        <v>1</v>
      </c>
      <c r="K13" s="60">
        <v>1</v>
      </c>
      <c r="L13" s="60" t="s">
        <v>396</v>
      </c>
      <c r="M13" s="60" t="s">
        <v>397</v>
      </c>
      <c r="N13" s="60" t="s">
        <v>397</v>
      </c>
      <c r="O13" s="60" t="s">
        <v>398</v>
      </c>
      <c r="P13" s="60" t="s">
        <v>396</v>
      </c>
      <c r="Q13" s="445" t="s">
        <v>399</v>
      </c>
      <c r="R13" s="446"/>
    </row>
    <row r="14" spans="2:18" ht="27.75" customHeight="1">
      <c r="B14" s="88">
        <f>'Port of Call List'!A11</f>
        <v>2</v>
      </c>
      <c r="C14" s="372" t="str">
        <f>'Port of Call List'!B11</f>
        <v>MARSEILLE</v>
      </c>
      <c r="D14" s="372" t="str">
        <f>'Port of Call List'!C11</f>
        <v>FRANCE</v>
      </c>
      <c r="E14" s="89" t="str">
        <f>'Port of Call List'!H11</f>
        <v>FRMRS</v>
      </c>
      <c r="F14" s="377">
        <f>'Port of Call List'!D11</f>
        <v>46153</v>
      </c>
      <c r="G14" s="378" t="str">
        <f>'Port of Call List'!E11</f>
        <v>02:30</v>
      </c>
      <c r="H14" s="377">
        <f>'Port of Call List'!F11</f>
        <v>46154</v>
      </c>
      <c r="I14" s="378" t="str">
        <f>'Port of Call List'!G11</f>
        <v>21:18</v>
      </c>
      <c r="J14" s="60">
        <v>1</v>
      </c>
      <c r="K14" s="60">
        <v>1</v>
      </c>
      <c r="L14" s="60" t="s">
        <v>396</v>
      </c>
      <c r="M14" s="60" t="s">
        <v>397</v>
      </c>
      <c r="N14" s="60" t="s">
        <v>397</v>
      </c>
      <c r="O14" s="60" t="s">
        <v>398</v>
      </c>
      <c r="P14" s="60" t="s">
        <v>396</v>
      </c>
      <c r="Q14" s="445" t="s">
        <v>399</v>
      </c>
      <c r="R14" s="446"/>
    </row>
    <row r="15" spans="2:18" ht="27.75" customHeight="1">
      <c r="B15" s="88">
        <f>'Port of Call List'!A12</f>
        <v>3</v>
      </c>
      <c r="C15" s="372" t="str">
        <f>'Port of Call List'!B12</f>
        <v>LA SPEZIA</v>
      </c>
      <c r="D15" s="372" t="str">
        <f>'Port of Call List'!C12</f>
        <v>ITALY</v>
      </c>
      <c r="E15" s="89" t="str">
        <f>'Port of Call List'!H12</f>
        <v>ITSPE</v>
      </c>
      <c r="F15" s="377">
        <f>'Port of Call List'!D12</f>
        <v>46151</v>
      </c>
      <c r="G15" s="378" t="str">
        <f>'Port of Call List'!E12</f>
        <v>17:54</v>
      </c>
      <c r="H15" s="377">
        <f>'Port of Call List'!F12</f>
        <v>46152</v>
      </c>
      <c r="I15" s="378" t="str">
        <f>'Port of Call List'!G12</f>
        <v>05:48</v>
      </c>
      <c r="J15" s="60">
        <v>1</v>
      </c>
      <c r="K15" s="60">
        <v>1</v>
      </c>
      <c r="L15" s="60" t="s">
        <v>396</v>
      </c>
      <c r="M15" s="60" t="s">
        <v>397</v>
      </c>
      <c r="N15" s="60" t="s">
        <v>397</v>
      </c>
      <c r="O15" s="60" t="s">
        <v>398</v>
      </c>
      <c r="P15" s="60" t="s">
        <v>396</v>
      </c>
      <c r="Q15" s="445" t="s">
        <v>399</v>
      </c>
      <c r="R15" s="446"/>
    </row>
    <row r="16" spans="2:18" ht="27.75" customHeight="1">
      <c r="B16" s="88">
        <f>'Port of Call List'!A13</f>
        <v>4</v>
      </c>
      <c r="C16" s="372" t="str">
        <f>'Port of Call List'!B13</f>
        <v>GENOA</v>
      </c>
      <c r="D16" s="372" t="str">
        <f>'Port of Call List'!C13</f>
        <v>ITALY</v>
      </c>
      <c r="E16" s="89" t="str">
        <f>'Port of Call List'!H13</f>
        <v>ITGOA</v>
      </c>
      <c r="F16" s="377">
        <f>'Port of Call List'!D13</f>
        <v>46150</v>
      </c>
      <c r="G16" s="378" t="str">
        <f>'Port of Call List'!E13</f>
        <v>20:36</v>
      </c>
      <c r="H16" s="377">
        <f>'Port of Call List'!F13</f>
        <v>46151</v>
      </c>
      <c r="I16" s="378" t="str">
        <f>'Port of Call List'!G13</f>
        <v>12:00</v>
      </c>
      <c r="J16" s="60">
        <v>1</v>
      </c>
      <c r="K16" s="60">
        <v>1</v>
      </c>
      <c r="L16" s="60" t="s">
        <v>396</v>
      </c>
      <c r="M16" s="60" t="s">
        <v>397</v>
      </c>
      <c r="N16" s="60" t="s">
        <v>397</v>
      </c>
      <c r="O16" s="60" t="s">
        <v>398</v>
      </c>
      <c r="P16" s="60" t="s">
        <v>396</v>
      </c>
      <c r="Q16" s="445" t="s">
        <v>399</v>
      </c>
      <c r="R16" s="446"/>
    </row>
    <row r="17" spans="2:18" ht="27.75" customHeight="1">
      <c r="B17" s="88">
        <f>'Port of Call List'!A14</f>
        <v>5</v>
      </c>
      <c r="C17" s="372" t="str">
        <f>'Port of Call List'!B14</f>
        <v>SALERNO</v>
      </c>
      <c r="D17" s="372" t="str">
        <f>'Port of Call List'!C14</f>
        <v>ITALY</v>
      </c>
      <c r="E17" s="89" t="str">
        <f>'Port of Call List'!H14</f>
        <v>ITSAL</v>
      </c>
      <c r="F17" s="377">
        <f>'Port of Call List'!D14</f>
        <v>46149</v>
      </c>
      <c r="G17" s="378" t="str">
        <f>'Port of Call List'!E14</f>
        <v>08:48</v>
      </c>
      <c r="H17" s="377">
        <f>'Port of Call List'!F14</f>
        <v>46149</v>
      </c>
      <c r="I17" s="378" t="str">
        <f>'Port of Call List'!G14</f>
        <v>22:00</v>
      </c>
      <c r="J17" s="60">
        <v>1</v>
      </c>
      <c r="K17" s="60">
        <v>1</v>
      </c>
      <c r="L17" s="60" t="s">
        <v>396</v>
      </c>
      <c r="M17" s="60" t="s">
        <v>397</v>
      </c>
      <c r="N17" s="60" t="s">
        <v>397</v>
      </c>
      <c r="O17" s="60" t="s">
        <v>398</v>
      </c>
      <c r="P17" s="60" t="s">
        <v>396</v>
      </c>
      <c r="Q17" s="445" t="s">
        <v>399</v>
      </c>
      <c r="R17" s="446"/>
    </row>
    <row r="18" spans="2:18" ht="27.75" customHeight="1">
      <c r="B18" s="88">
        <f>'Port of Call List'!A15</f>
        <v>6</v>
      </c>
      <c r="C18" s="372" t="str">
        <f>'Port of Call List'!B15</f>
        <v>NAPOLI</v>
      </c>
      <c r="D18" s="372" t="str">
        <f>'Port of Call List'!C15</f>
        <v>ITALY</v>
      </c>
      <c r="E18" s="89" t="str">
        <f>'Port of Call List'!H15</f>
        <v>ITNAP</v>
      </c>
      <c r="F18" s="377">
        <f>'Port of Call List'!D15</f>
        <v>46144</v>
      </c>
      <c r="G18" s="378" t="str">
        <f>'Port of Call List'!E15</f>
        <v>07:00</v>
      </c>
      <c r="H18" s="377">
        <f>'Port of Call List'!F15</f>
        <v>46144</v>
      </c>
      <c r="I18" s="378" t="str">
        <f>'Port of Call List'!G15</f>
        <v>21:06</v>
      </c>
      <c r="J18" s="60">
        <v>1</v>
      </c>
      <c r="K18" s="60">
        <v>1</v>
      </c>
      <c r="L18" s="60" t="s">
        <v>396</v>
      </c>
      <c r="M18" s="60" t="s">
        <v>397</v>
      </c>
      <c r="N18" s="60" t="s">
        <v>397</v>
      </c>
      <c r="O18" s="60" t="s">
        <v>398</v>
      </c>
      <c r="P18" s="60" t="s">
        <v>396</v>
      </c>
      <c r="Q18" s="445" t="s">
        <v>399</v>
      </c>
      <c r="R18" s="446"/>
    </row>
    <row r="19" spans="2:18" ht="27.75" customHeight="1">
      <c r="B19" s="88">
        <f>'Port of Call List'!A16</f>
        <v>7</v>
      </c>
      <c r="C19" s="372" t="str">
        <f>'Port of Call List'!B16</f>
        <v>ALGER</v>
      </c>
      <c r="D19" s="372" t="str">
        <f>'Port of Call List'!C16</f>
        <v>ALGERIA</v>
      </c>
      <c r="E19" s="89" t="str">
        <f>'Port of Call List'!H16</f>
        <v>DZALG</v>
      </c>
      <c r="F19" s="377">
        <f>'Port of Call List'!D16</f>
        <v>46136</v>
      </c>
      <c r="G19" s="378" t="str">
        <f>'Port of Call List'!E16</f>
        <v>08:24</v>
      </c>
      <c r="H19" s="377">
        <f>'Port of Call List'!F16</f>
        <v>46140</v>
      </c>
      <c r="I19" s="378" t="str">
        <f>'Port of Call List'!G16</f>
        <v>21:24</v>
      </c>
      <c r="J19" s="60">
        <v>1</v>
      </c>
      <c r="K19" s="60">
        <v>1</v>
      </c>
      <c r="L19" s="60" t="s">
        <v>396</v>
      </c>
      <c r="M19" s="60" t="s">
        <v>397</v>
      </c>
      <c r="N19" s="60" t="s">
        <v>397</v>
      </c>
      <c r="O19" s="60" t="s">
        <v>398</v>
      </c>
      <c r="P19" s="60" t="s">
        <v>396</v>
      </c>
      <c r="Q19" s="445" t="s">
        <v>399</v>
      </c>
      <c r="R19" s="446"/>
    </row>
    <row r="20" spans="2:18" ht="27.75" customHeight="1">
      <c r="B20" s="88">
        <f>'Port of Call List'!A17</f>
        <v>8</v>
      </c>
      <c r="C20" s="372" t="str">
        <f>'Port of Call List'!B17</f>
        <v>MARSEILLE</v>
      </c>
      <c r="D20" s="372" t="str">
        <f>'Port of Call List'!C17</f>
        <v>FRANCE</v>
      </c>
      <c r="E20" s="89" t="str">
        <f>'Port of Call List'!H17</f>
        <v>FRMRS</v>
      </c>
      <c r="F20" s="377">
        <f>'Port of Call List'!D17</f>
        <v>46130</v>
      </c>
      <c r="G20" s="378" t="str">
        <f>'Port of Call List'!E17</f>
        <v>20:48</v>
      </c>
      <c r="H20" s="377">
        <f>'Port of Call List'!F17</f>
        <v>46133</v>
      </c>
      <c r="I20" s="378" t="str">
        <f>'Port of Call List'!G17</f>
        <v>18:24</v>
      </c>
      <c r="J20" s="60">
        <v>1</v>
      </c>
      <c r="K20" s="60">
        <v>1</v>
      </c>
      <c r="L20" s="60" t="s">
        <v>396</v>
      </c>
      <c r="M20" s="60" t="s">
        <v>397</v>
      </c>
      <c r="N20" s="60" t="s">
        <v>397</v>
      </c>
      <c r="O20" s="60" t="s">
        <v>398</v>
      </c>
      <c r="P20" s="60" t="s">
        <v>396</v>
      </c>
      <c r="Q20" s="445" t="s">
        <v>399</v>
      </c>
      <c r="R20" s="446"/>
    </row>
    <row r="21" spans="2:18" ht="27.75" customHeight="1">
      <c r="B21" s="88">
        <f>'Port of Call List'!A18</f>
        <v>9</v>
      </c>
      <c r="C21" s="372" t="str">
        <f>'Port of Call List'!B18</f>
        <v>GENOA</v>
      </c>
      <c r="D21" s="372" t="str">
        <f>'Port of Call List'!C18</f>
        <v>ITALY</v>
      </c>
      <c r="E21" s="89" t="str">
        <f>'Port of Call List'!H18</f>
        <v>ITGOA</v>
      </c>
      <c r="F21" s="377">
        <f>'Port of Call List'!D18</f>
        <v>46129</v>
      </c>
      <c r="G21" s="378" t="str">
        <f>'Port of Call List'!E18</f>
        <v>13:06</v>
      </c>
      <c r="H21" s="377">
        <f>'Port of Call List'!F18</f>
        <v>46129</v>
      </c>
      <c r="I21" s="378" t="str">
        <f>'Port of Call List'!G18</f>
        <v>21:06</v>
      </c>
      <c r="J21" s="60">
        <v>1</v>
      </c>
      <c r="K21" s="60">
        <v>1</v>
      </c>
      <c r="L21" s="60" t="s">
        <v>396</v>
      </c>
      <c r="M21" s="60" t="s">
        <v>397</v>
      </c>
      <c r="N21" s="60" t="s">
        <v>397</v>
      </c>
      <c r="O21" s="60" t="s">
        <v>398</v>
      </c>
      <c r="P21" s="60" t="s">
        <v>396</v>
      </c>
      <c r="Q21" s="445" t="s">
        <v>399</v>
      </c>
      <c r="R21" s="446"/>
    </row>
    <row r="22" spans="2:18" ht="27.75" customHeight="1">
      <c r="B22" s="88">
        <f>'Port of Call List'!A19</f>
        <v>10</v>
      </c>
      <c r="C22" s="372" t="str">
        <f>'Port of Call List'!B19</f>
        <v>LA SPEZIA</v>
      </c>
      <c r="D22" s="372" t="str">
        <f>'Port of Call List'!C19</f>
        <v>ITALY</v>
      </c>
      <c r="E22" s="89" t="str">
        <f>'Port of Call List'!H19</f>
        <v>ITSPE</v>
      </c>
      <c r="F22" s="377">
        <f>'Port of Call List'!D19</f>
        <v>46126</v>
      </c>
      <c r="G22" s="378" t="str">
        <f>'Port of Call List'!E19</f>
        <v>17:00</v>
      </c>
      <c r="H22" s="377">
        <f>'Port of Call List'!F19</f>
        <v>46129</v>
      </c>
      <c r="I22" s="378" t="str">
        <f>'Port of Call List'!G19</f>
        <v>04:30</v>
      </c>
      <c r="J22" s="60">
        <v>1</v>
      </c>
      <c r="K22" s="60">
        <v>1</v>
      </c>
      <c r="L22" s="60" t="s">
        <v>396</v>
      </c>
      <c r="M22" s="60" t="s">
        <v>397</v>
      </c>
      <c r="N22" s="60" t="s">
        <v>397</v>
      </c>
      <c r="O22" s="60" t="s">
        <v>398</v>
      </c>
      <c r="P22" s="60" t="s">
        <v>396</v>
      </c>
      <c r="Q22" s="445" t="s">
        <v>399</v>
      </c>
      <c r="R22" s="446"/>
    </row>
    <row r="23" spans="2:18" ht="9.75" customHeight="1"/>
    <row r="24" spans="2:18" ht="24.75" customHeight="1">
      <c r="B24" s="738" t="s">
        <v>400</v>
      </c>
      <c r="C24" s="738"/>
      <c r="D24" s="738"/>
      <c r="E24" s="738"/>
      <c r="F24" s="738"/>
      <c r="G24" s="738"/>
      <c r="H24" s="738"/>
      <c r="I24" s="738"/>
      <c r="J24" s="738"/>
      <c r="K24" s="738"/>
      <c r="L24" s="738"/>
      <c r="M24" s="738"/>
      <c r="N24" s="738"/>
      <c r="O24" s="738"/>
      <c r="P24" s="738"/>
      <c r="Q24" s="738"/>
      <c r="R24" s="738"/>
    </row>
    <row r="25" spans="2:18" ht="9.75" customHeight="1"/>
    <row r="26" spans="2:18" ht="9.75" customHeight="1">
      <c r="B26" s="741" t="s">
        <v>401</v>
      </c>
      <c r="C26" s="741"/>
      <c r="D26" s="741"/>
      <c r="E26" s="741"/>
      <c r="F26" s="741"/>
      <c r="G26" s="90"/>
      <c r="H26" s="90"/>
      <c r="I26" s="90"/>
      <c r="J26" s="90"/>
      <c r="K26" s="90"/>
      <c r="L26" s="90"/>
      <c r="M26" s="90"/>
      <c r="N26" s="90"/>
      <c r="O26" s="90"/>
      <c r="P26" s="90"/>
      <c r="Q26" s="742" t="s">
        <v>402</v>
      </c>
      <c r="R26" s="742"/>
    </row>
    <row r="27" spans="2:18" ht="24.75" customHeight="1">
      <c r="M27" s="743" t="s">
        <v>403</v>
      </c>
      <c r="N27" s="743"/>
      <c r="O27" s="744" t="str">
        <f>Input!L6</f>
        <v>ZHYKHARIEV, Dmytro</v>
      </c>
      <c r="P27" s="744"/>
      <c r="Q27" s="744"/>
      <c r="R27" s="744"/>
    </row>
    <row r="28" spans="2:18" s="27" customFormat="1" ht="19.5" customHeight="1">
      <c r="B28" s="745" t="s">
        <v>404</v>
      </c>
      <c r="C28" s="745"/>
      <c r="D28" s="745"/>
      <c r="E28" s="91"/>
      <c r="F28" s="91"/>
      <c r="G28" s="745" t="s">
        <v>405</v>
      </c>
      <c r="H28" s="745"/>
      <c r="I28" s="745"/>
      <c r="J28" s="92"/>
      <c r="K28" s="745" t="s">
        <v>406</v>
      </c>
      <c r="L28" s="745"/>
      <c r="M28" s="745"/>
      <c r="N28" s="92"/>
      <c r="O28" s="746" t="s">
        <v>407</v>
      </c>
      <c r="P28" s="746"/>
      <c r="Q28" s="746"/>
      <c r="R28" s="92"/>
    </row>
    <row r="29" spans="2:18" ht="19.5" customHeight="1">
      <c r="B29" s="739">
        <v>0</v>
      </c>
      <c r="C29" s="739"/>
      <c r="D29" s="739"/>
      <c r="E29" s="93"/>
      <c r="F29" s="93"/>
      <c r="G29" s="739" t="s">
        <v>408</v>
      </c>
      <c r="H29" s="739"/>
      <c r="I29" s="739"/>
      <c r="K29" s="740">
        <v>42804</v>
      </c>
      <c r="L29" s="740"/>
      <c r="M29" s="740"/>
      <c r="O29" s="739" t="s">
        <v>409</v>
      </c>
      <c r="P29" s="739"/>
      <c r="Q29" s="739"/>
    </row>
  </sheetData>
  <mergeCells count="48">
    <mergeCell ref="B1:D1"/>
    <mergeCell ref="B2:D2"/>
    <mergeCell ref="H2:L2"/>
    <mergeCell ref="O2:R2"/>
    <mergeCell ref="B3:D3"/>
    <mergeCell ref="H3:L3"/>
    <mergeCell ref="O3:R3"/>
    <mergeCell ref="B4:D4"/>
    <mergeCell ref="M4:N4"/>
    <mergeCell ref="O4:R4"/>
    <mergeCell ref="B5:D5"/>
    <mergeCell ref="M5:N5"/>
    <mergeCell ref="O5:R5"/>
    <mergeCell ref="B6:D6"/>
    <mergeCell ref="E6:F6"/>
    <mergeCell ref="J6:L6"/>
    <mergeCell ref="M6:N6"/>
    <mergeCell ref="O6:R6"/>
    <mergeCell ref="B7:D7"/>
    <mergeCell ref="E7:F7"/>
    <mergeCell ref="M7:N7"/>
    <mergeCell ref="O7:R7"/>
    <mergeCell ref="B8:D8"/>
    <mergeCell ref="E8:F8"/>
    <mergeCell ref="M8:N8"/>
    <mergeCell ref="O8:R8"/>
    <mergeCell ref="Q10:R11"/>
    <mergeCell ref="B11:E11"/>
    <mergeCell ref="B12:E12"/>
    <mergeCell ref="Q12:R12"/>
    <mergeCell ref="B10:E10"/>
    <mergeCell ref="F10:G11"/>
    <mergeCell ref="H10:I11"/>
    <mergeCell ref="J10:N11"/>
    <mergeCell ref="O10:P11"/>
    <mergeCell ref="B24:R24"/>
    <mergeCell ref="B29:D29"/>
    <mergeCell ref="G29:I29"/>
    <mergeCell ref="K29:M29"/>
    <mergeCell ref="O29:Q29"/>
    <mergeCell ref="B26:F26"/>
    <mergeCell ref="Q26:R26"/>
    <mergeCell ref="M27:N27"/>
    <mergeCell ref="O27:R27"/>
    <mergeCell ref="B28:D28"/>
    <mergeCell ref="G28:I28"/>
    <mergeCell ref="K28:M28"/>
    <mergeCell ref="O28:Q28"/>
  </mergeCells>
  <printOptions horizontalCentered="1" verticalCentered="1"/>
  <pageMargins left="0.196527777777778" right="0.196527777777778" top="0.196527777777778" bottom="0.196527777777778" header="0.511811023622047" footer="0.511811023622047"/>
  <pageSetup paperSize="9" scale="79"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AMJ50"/>
  <sheetViews>
    <sheetView showGridLines="0" view="pageBreakPreview" topLeftCell="A13" workbookViewId="0">
      <selection activeCell="J16" sqref="J16"/>
    </sheetView>
  </sheetViews>
  <sheetFormatPr defaultColWidth="3" defaultRowHeight="12.75"/>
  <cols>
    <col min="1" max="1" width="6.5703125" style="94" customWidth="1"/>
    <col min="2" max="2" width="4" style="94" customWidth="1"/>
    <col min="3" max="3" width="30.7109375" style="94" customWidth="1"/>
    <col min="4" max="4" width="10.42578125" style="94" customWidth="1"/>
    <col min="5" max="5" width="2.28515625" style="94" customWidth="1"/>
    <col min="6" max="6" width="7.42578125" style="94" customWidth="1"/>
    <col min="7" max="7" width="8.85546875" style="94" customWidth="1"/>
    <col min="8" max="8" width="2.140625" style="94" customWidth="1"/>
    <col min="9" max="9" width="16" style="94" customWidth="1"/>
    <col min="10" max="10" width="14.140625" style="94" customWidth="1"/>
    <col min="11" max="1024" width="3" style="94"/>
  </cols>
  <sheetData>
    <row r="1" spans="1:16" ht="15.75">
      <c r="B1" s="783" t="s">
        <v>410</v>
      </c>
      <c r="C1" s="783"/>
      <c r="D1" s="783"/>
      <c r="E1" s="783"/>
      <c r="F1" s="783"/>
      <c r="G1" s="783"/>
      <c r="H1" s="783"/>
      <c r="I1" s="783"/>
      <c r="J1" s="783"/>
    </row>
    <row r="3" spans="1:16" s="95" customFormat="1" ht="9.75" customHeight="1">
      <c r="I3" s="96"/>
      <c r="J3" s="97" t="s">
        <v>411</v>
      </c>
    </row>
    <row r="4" spans="1:16" s="94" customFormat="1" ht="10.5" customHeight="1">
      <c r="E4" s="98" t="s">
        <v>398</v>
      </c>
      <c r="F4" s="99" t="s">
        <v>412</v>
      </c>
      <c r="H4" s="98"/>
      <c r="I4" s="99" t="s">
        <v>413</v>
      </c>
      <c r="J4" s="100">
        <v>1</v>
      </c>
    </row>
    <row r="5" spans="1:16" s="94" customFormat="1" ht="8.25" customHeight="1">
      <c r="B5" s="779" t="s">
        <v>414</v>
      </c>
      <c r="C5" s="779"/>
      <c r="D5" s="779"/>
      <c r="E5" s="784" t="s">
        <v>415</v>
      </c>
      <c r="F5" s="784"/>
      <c r="G5" s="784"/>
      <c r="H5" s="785" t="s">
        <v>416</v>
      </c>
      <c r="I5" s="785"/>
      <c r="J5" s="785"/>
    </row>
    <row r="6" spans="1:16" s="101" customFormat="1" ht="15" customHeight="1">
      <c r="B6" s="781" t="str">
        <f>Input!D2</f>
        <v>HANNA</v>
      </c>
      <c r="C6" s="781"/>
      <c r="D6" s="781"/>
      <c r="E6" s="786" t="str">
        <f>Input!D12</f>
        <v>Napoli</v>
      </c>
      <c r="F6" s="786"/>
      <c r="G6" s="786"/>
      <c r="H6" s="787">
        <f>Input!D8</f>
        <v>46167</v>
      </c>
      <c r="I6" s="787"/>
      <c r="J6" s="787"/>
    </row>
    <row r="7" spans="1:16" s="94" customFormat="1" ht="12.75" customHeight="1">
      <c r="B7" s="779" t="s">
        <v>417</v>
      </c>
      <c r="C7" s="779"/>
      <c r="D7" s="779"/>
      <c r="E7" s="779" t="s">
        <v>418</v>
      </c>
      <c r="F7" s="779"/>
      <c r="G7" s="779"/>
      <c r="H7" s="779"/>
      <c r="I7" s="779"/>
      <c r="J7" s="780" t="s">
        <v>698</v>
      </c>
    </row>
    <row r="8" spans="1:16" s="94" customFormat="1" ht="15" customHeight="1">
      <c r="B8" s="781" t="str">
        <f>Input!D4</f>
        <v>Cyprus</v>
      </c>
      <c r="C8" s="781"/>
      <c r="D8" s="781"/>
      <c r="E8" s="782" t="str">
        <f>Input!D14</f>
        <v>Alger</v>
      </c>
      <c r="F8" s="782"/>
      <c r="G8" s="782"/>
      <c r="H8" s="102" t="s">
        <v>420</v>
      </c>
      <c r="I8" s="371" t="str">
        <f>Input!D16</f>
        <v>La Spezia</v>
      </c>
      <c r="J8" s="780"/>
      <c r="K8" s="103"/>
    </row>
    <row r="9" spans="1:16" s="94" customFormat="1" ht="8.25" customHeight="1">
      <c r="B9" s="775" t="s">
        <v>421</v>
      </c>
      <c r="C9" s="104" t="s">
        <v>422</v>
      </c>
      <c r="D9" s="104" t="s">
        <v>423</v>
      </c>
      <c r="E9" s="776" t="s">
        <v>424</v>
      </c>
      <c r="F9" s="776"/>
      <c r="G9" s="776" t="s">
        <v>425</v>
      </c>
      <c r="H9" s="776"/>
      <c r="I9" s="776"/>
      <c r="J9" s="105" t="s">
        <v>36</v>
      </c>
    </row>
    <row r="10" spans="1:16" s="94" customFormat="1" ht="10.5" customHeight="1">
      <c r="B10" s="775"/>
      <c r="C10" s="106"/>
      <c r="D10" s="106"/>
      <c r="E10" s="777"/>
      <c r="F10" s="777"/>
      <c r="G10" s="107"/>
      <c r="H10" s="778"/>
      <c r="I10" s="778"/>
      <c r="J10" s="13" t="s">
        <v>21</v>
      </c>
    </row>
    <row r="11" spans="1:16" ht="25.5" customHeight="1">
      <c r="A11" s="772" t="s">
        <v>426</v>
      </c>
      <c r="B11" s="108">
        <f>Input!K6</f>
        <v>1</v>
      </c>
      <c r="C11" s="370" t="str">
        <f>+Input!L6</f>
        <v>ZHYKHARIEV, Dmytro</v>
      </c>
      <c r="D11" s="109" t="str">
        <f>Input!M6</f>
        <v>Master</v>
      </c>
      <c r="E11" s="773" t="str">
        <f>Input!N6</f>
        <v>Ukraine</v>
      </c>
      <c r="F11" s="773"/>
      <c r="G11" s="110">
        <f>+Input!P6</f>
        <v>31731</v>
      </c>
      <c r="H11" s="774" t="str">
        <f>+Input!Q6</f>
        <v>Ukraine, Kherson</v>
      </c>
      <c r="I11" s="774"/>
      <c r="J11" s="515" t="str">
        <f>Input!S6</f>
        <v xml:space="preserve">FH557277 </v>
      </c>
    </row>
    <row r="12" spans="1:16" ht="25.5" customHeight="1">
      <c r="A12" s="772"/>
      <c r="B12" s="112">
        <f>Input!K7</f>
        <v>2</v>
      </c>
      <c r="C12" s="34" t="str">
        <f>Input!L7</f>
        <v>LAURENTE, Artemio Belza</v>
      </c>
      <c r="D12" s="23" t="str">
        <f>Input!M7</f>
        <v>Ch.Off</v>
      </c>
      <c r="E12" s="771" t="str">
        <f>Input!N7</f>
        <v>Philippines</v>
      </c>
      <c r="F12" s="771"/>
      <c r="G12" s="113">
        <f>Input!P7</f>
        <v>31920</v>
      </c>
      <c r="H12" s="770" t="str">
        <f>Input!Q7</f>
        <v>Barugo, Leyte</v>
      </c>
      <c r="I12" s="770"/>
      <c r="J12" s="114" t="str">
        <f>Input!S7</f>
        <v>P3901669B</v>
      </c>
    </row>
    <row r="13" spans="1:16" ht="25.5" customHeight="1">
      <c r="A13" s="772"/>
      <c r="B13" s="112">
        <f>Input!K8</f>
        <v>3</v>
      </c>
      <c r="C13" s="34" t="str">
        <f>Input!L8</f>
        <v>MAKAR, Maksym</v>
      </c>
      <c r="D13" s="23" t="str">
        <f>Input!M8</f>
        <v>2nd Off</v>
      </c>
      <c r="E13" s="771" t="str">
        <f>Input!N8</f>
        <v>Ukraine</v>
      </c>
      <c r="F13" s="771"/>
      <c r="G13" s="113">
        <f>Input!P8</f>
        <v>33186</v>
      </c>
      <c r="H13" s="770" t="str">
        <f>Input!Q8</f>
        <v>Ukraine, Odessa</v>
      </c>
      <c r="I13" s="770"/>
      <c r="J13" s="114" t="str">
        <f>Input!S8</f>
        <v>FK832567</v>
      </c>
      <c r="P13" s="94" t="s">
        <v>0</v>
      </c>
    </row>
    <row r="14" spans="1:16" ht="25.5" customHeight="1">
      <c r="A14" s="772"/>
      <c r="B14" s="112">
        <f>Input!K9</f>
        <v>4</v>
      </c>
      <c r="C14" s="34" t="str">
        <f>Input!L9</f>
        <v>ZADOROZHNY, Sergiy</v>
      </c>
      <c r="D14" s="23" t="str">
        <f>Input!M9</f>
        <v>Ch.Eng</v>
      </c>
      <c r="E14" s="771" t="str">
        <f>Input!N9</f>
        <v>Ukraine</v>
      </c>
      <c r="F14" s="771"/>
      <c r="G14" s="113">
        <f>Input!P9</f>
        <v>21788</v>
      </c>
      <c r="H14" s="770" t="str">
        <f>Input!Q9</f>
        <v>Ukraine, Odessa</v>
      </c>
      <c r="I14" s="770"/>
      <c r="J14" s="114" t="str">
        <f>Input!S9</f>
        <v>FU050737</v>
      </c>
      <c r="K14" s="27"/>
      <c r="M14" s="94" t="s">
        <v>0</v>
      </c>
    </row>
    <row r="15" spans="1:16" ht="25.5" customHeight="1">
      <c r="A15" s="772"/>
      <c r="B15" s="112">
        <f>Input!K10</f>
        <v>5</v>
      </c>
      <c r="C15" s="34" t="str">
        <f>Input!L10</f>
        <v>HONCHAR, Yurii</v>
      </c>
      <c r="D15" s="23" t="str">
        <f>Input!M10</f>
        <v>2nd Eng</v>
      </c>
      <c r="E15" s="771" t="str">
        <f>Input!N10</f>
        <v>Ukraine</v>
      </c>
      <c r="F15" s="771"/>
      <c r="G15" s="113">
        <f>Input!P10</f>
        <v>31151</v>
      </c>
      <c r="H15" s="770" t="str">
        <f>Input!Q10</f>
        <v>Ukraine</v>
      </c>
      <c r="I15" s="770"/>
      <c r="J15" s="114" t="str">
        <f>Input!S10</f>
        <v>GJ014077</v>
      </c>
      <c r="K15" s="27"/>
    </row>
    <row r="16" spans="1:16" ht="25.5" customHeight="1">
      <c r="A16" s="772"/>
      <c r="B16" s="112">
        <f>Input!K11</f>
        <v>6</v>
      </c>
      <c r="C16" s="34" t="str">
        <f>Input!L11</f>
        <v>CORCINO, Renand Aparece</v>
      </c>
      <c r="D16" s="23" t="str">
        <f>Input!M11</f>
        <v>A/B</v>
      </c>
      <c r="E16" s="771" t="str">
        <f>Input!N11</f>
        <v>Philippines</v>
      </c>
      <c r="F16" s="771"/>
      <c r="G16" s="113">
        <f>Input!P11</f>
        <v>33807</v>
      </c>
      <c r="H16" s="770" t="str">
        <f>Input!Q11</f>
        <v>Inabanga, Bohol</v>
      </c>
      <c r="I16" s="770"/>
      <c r="J16" s="114" t="str">
        <f>Input!S11</f>
        <v>P3970180B</v>
      </c>
    </row>
    <row r="17" spans="1:11" ht="25.5" customHeight="1">
      <c r="A17" s="772"/>
      <c r="B17" s="112">
        <f>Input!K12</f>
        <v>7</v>
      </c>
      <c r="C17" s="34" t="str">
        <f>Input!L12</f>
        <v>BANEZ, John Kenneth Rebundas</v>
      </c>
      <c r="D17" s="23" t="str">
        <f>Input!M12</f>
        <v>O/S</v>
      </c>
      <c r="E17" s="771" t="str">
        <f>Input!N12</f>
        <v>Philippines</v>
      </c>
      <c r="F17" s="771"/>
      <c r="G17" s="113">
        <f>Input!P12</f>
        <v>36429</v>
      </c>
      <c r="H17" s="770" t="str">
        <f>Input!Q12</f>
        <v>Malolos, Bulacan</v>
      </c>
      <c r="I17" s="770"/>
      <c r="J17" s="114" t="str">
        <f>Input!S12</f>
        <v>P1370110C</v>
      </c>
    </row>
    <row r="18" spans="1:11" ht="25.5" customHeight="1">
      <c r="A18" s="772"/>
      <c r="B18" s="112">
        <f>Input!K13</f>
        <v>8</v>
      </c>
      <c r="C18" s="34" t="str">
        <f>Input!L13</f>
        <v>PERNIA, James Malitao</v>
      </c>
      <c r="D18" s="23" t="str">
        <f>Input!M13</f>
        <v>O/S</v>
      </c>
      <c r="E18" s="771" t="str">
        <f>Input!N13</f>
        <v>Philippines</v>
      </c>
      <c r="F18" s="771"/>
      <c r="G18" s="113">
        <f>Input!P13</f>
        <v>36100</v>
      </c>
      <c r="H18" s="770" t="str">
        <f>Input!Q13</f>
        <v>Buenavista, Marinduque</v>
      </c>
      <c r="I18" s="770"/>
      <c r="J18" s="114" t="str">
        <f>Input!S13</f>
        <v>P7743571B</v>
      </c>
    </row>
    <row r="19" spans="1:11" ht="25.5" customHeight="1">
      <c r="A19" s="772"/>
      <c r="B19" s="112">
        <f>Input!K14</f>
        <v>9</v>
      </c>
      <c r="C19" s="34" t="str">
        <f>Input!L14</f>
        <v>CANTOS, Philip Justin Perez</v>
      </c>
      <c r="D19" s="23" t="str">
        <f>Input!M14</f>
        <v>O/S</v>
      </c>
      <c r="E19" s="771" t="str">
        <f>Input!N14</f>
        <v>Philippines</v>
      </c>
      <c r="F19" s="771"/>
      <c r="G19" s="113">
        <f>Input!P14</f>
        <v>36743</v>
      </c>
      <c r="H19" s="770" t="str">
        <f>Input!Q14</f>
        <v>Batangas City</v>
      </c>
      <c r="I19" s="770"/>
      <c r="J19" s="114" t="str">
        <f>Input!S14</f>
        <v>P5075641C</v>
      </c>
    </row>
    <row r="20" spans="1:11" ht="25.5" customHeight="1">
      <c r="A20" s="772"/>
      <c r="B20" s="112">
        <f>Input!K15</f>
        <v>10</v>
      </c>
      <c r="C20" s="34" t="str">
        <f>Input!L15</f>
        <v>ROMULO, Roland Bong Rosal</v>
      </c>
      <c r="D20" s="23" t="str">
        <f>Input!M15</f>
        <v>O/S</v>
      </c>
      <c r="E20" s="771" t="str">
        <f>Input!N15</f>
        <v>Philippines</v>
      </c>
      <c r="F20" s="771"/>
      <c r="G20" s="113">
        <f>Input!P15</f>
        <v>36517</v>
      </c>
      <c r="H20" s="770" t="str">
        <f>Input!Q15</f>
        <v>Manila</v>
      </c>
      <c r="I20" s="770"/>
      <c r="J20" s="114" t="str">
        <f>Input!S15</f>
        <v>P7652618B</v>
      </c>
    </row>
    <row r="21" spans="1:11" ht="25.5" customHeight="1">
      <c r="A21" s="772"/>
      <c r="B21" s="112">
        <f>Input!K16</f>
        <v>11</v>
      </c>
      <c r="C21" s="34" t="str">
        <f>Input!L16</f>
        <v>MATALUBOS, Gerald Maniapao</v>
      </c>
      <c r="D21" s="23" t="str">
        <f>Input!M16</f>
        <v>Wiper</v>
      </c>
      <c r="E21" s="771" t="str">
        <f>Input!N16</f>
        <v>Philippines</v>
      </c>
      <c r="F21" s="771"/>
      <c r="G21" s="113">
        <f>Input!P16</f>
        <v>36614</v>
      </c>
      <c r="H21" s="770" t="str">
        <f>Input!Q16</f>
        <v>Navotas, Metro Manila</v>
      </c>
      <c r="I21" s="770"/>
      <c r="J21" s="114" t="str">
        <f>Input!S16</f>
        <v>P0009456C</v>
      </c>
      <c r="K21" s="103"/>
    </row>
    <row r="22" spans="1:11" ht="25.5" customHeight="1">
      <c r="A22" s="772"/>
      <c r="B22" s="112">
        <f>Input!K17</f>
        <v>12</v>
      </c>
      <c r="C22" s="34" t="str">
        <f>Input!L17</f>
        <v>BERNABE, Brian Malaluan</v>
      </c>
      <c r="D22" s="23" t="str">
        <f>Input!M17</f>
        <v>Cook</v>
      </c>
      <c r="E22" s="771" t="str">
        <f>Input!N17</f>
        <v>Philippines</v>
      </c>
      <c r="F22" s="771"/>
      <c r="G22" s="113">
        <f>Input!P17</f>
        <v>31894</v>
      </c>
      <c r="H22" s="770" t="str">
        <f>Input!Q17</f>
        <v>Koronadal So. Cot.</v>
      </c>
      <c r="I22" s="770"/>
      <c r="J22" s="114" t="str">
        <f>Input!S17</f>
        <v>P8802413B</v>
      </c>
    </row>
    <row r="23" spans="1:11" ht="19.5" customHeight="1">
      <c r="A23" s="772"/>
      <c r="B23" s="112">
        <f>Input!K18</f>
        <v>13</v>
      </c>
      <c r="C23" s="34" t="str">
        <f>Input!L18</f>
        <v>SISON, Jan Randell Rollo</v>
      </c>
      <c r="D23" s="23" t="str">
        <f>Input!M18</f>
        <v>Dcad</v>
      </c>
      <c r="E23" s="771" t="str">
        <f>Input!N18</f>
        <v>Philippines</v>
      </c>
      <c r="F23" s="771"/>
      <c r="G23" s="113">
        <f>Input!P18</f>
        <v>37407</v>
      </c>
      <c r="H23" s="770" t="str">
        <f>Input!Q18</f>
        <v>Alaminos City</v>
      </c>
      <c r="I23" s="770"/>
      <c r="J23" s="114" t="str">
        <f>Input!S18</f>
        <v>P5175257C</v>
      </c>
    </row>
    <row r="24" spans="1:11" ht="21.75" customHeight="1">
      <c r="A24" s="772"/>
      <c r="B24" s="112"/>
      <c r="C24" s="129"/>
      <c r="D24" s="23"/>
      <c r="E24" s="769"/>
      <c r="F24" s="769"/>
      <c r="G24" s="113"/>
      <c r="H24" s="770"/>
      <c r="I24" s="770"/>
      <c r="J24" s="424"/>
      <c r="K24" s="103"/>
    </row>
    <row r="25" spans="1:11" ht="19.5" customHeight="1">
      <c r="A25" s="772"/>
      <c r="B25" s="115"/>
      <c r="C25" s="116"/>
      <c r="D25" s="115"/>
      <c r="E25" s="765"/>
      <c r="F25" s="765"/>
      <c r="G25" s="117"/>
      <c r="H25" s="766"/>
      <c r="I25" s="766"/>
      <c r="J25" s="17"/>
    </row>
    <row r="26" spans="1:11" ht="19.5" customHeight="1">
      <c r="A26" s="772"/>
      <c r="B26" s="115"/>
      <c r="C26" s="116"/>
      <c r="D26" s="115"/>
      <c r="E26" s="765"/>
      <c r="F26" s="765"/>
      <c r="G26" s="117"/>
      <c r="H26" s="766"/>
      <c r="I26" s="766"/>
      <c r="J26" s="17"/>
    </row>
    <row r="27" spans="1:11" ht="19.5" customHeight="1">
      <c r="B27" s="115"/>
      <c r="C27" s="116"/>
      <c r="D27" s="115"/>
      <c r="E27" s="765"/>
      <c r="F27" s="765"/>
      <c r="G27" s="117"/>
      <c r="H27" s="766"/>
      <c r="I27" s="766"/>
      <c r="J27" s="17"/>
    </row>
    <row r="28" spans="1:11" ht="19.5" customHeight="1">
      <c r="B28" s="115"/>
      <c r="C28" s="116"/>
      <c r="D28" s="115"/>
      <c r="E28" s="765"/>
      <c r="F28" s="765"/>
      <c r="G28" s="117"/>
      <c r="H28" s="766"/>
      <c r="I28" s="766"/>
      <c r="J28" s="17"/>
    </row>
    <row r="29" spans="1:11" ht="19.5" customHeight="1">
      <c r="B29" s="115"/>
      <c r="C29" s="116"/>
      <c r="D29" s="115"/>
      <c r="E29" s="765"/>
      <c r="F29" s="765"/>
      <c r="G29" s="117"/>
      <c r="H29" s="766"/>
      <c r="I29" s="766"/>
      <c r="J29" s="17"/>
    </row>
    <row r="30" spans="1:11" ht="19.5" customHeight="1">
      <c r="B30" s="115"/>
      <c r="C30" s="116"/>
      <c r="D30" s="115"/>
      <c r="E30" s="765"/>
      <c r="F30" s="765"/>
      <c r="G30" s="117"/>
      <c r="H30" s="766"/>
      <c r="I30" s="766"/>
      <c r="J30" s="17"/>
    </row>
    <row r="31" spans="1:11" ht="19.5" customHeight="1">
      <c r="B31" s="115"/>
      <c r="C31" s="118"/>
      <c r="D31" s="118"/>
      <c r="E31" s="765"/>
      <c r="F31" s="765"/>
      <c r="G31" s="118"/>
      <c r="H31" s="766"/>
      <c r="I31" s="766"/>
      <c r="J31" s="118"/>
    </row>
    <row r="32" spans="1:11" ht="19.5" customHeight="1">
      <c r="B32" s="115"/>
      <c r="C32" s="118"/>
      <c r="D32" s="118"/>
      <c r="E32" s="765"/>
      <c r="F32" s="765"/>
      <c r="G32" s="118"/>
      <c r="H32" s="766"/>
      <c r="I32" s="766"/>
      <c r="J32" s="118"/>
    </row>
    <row r="33" spans="1:10" ht="19.5" hidden="1" customHeight="1">
      <c r="B33" s="115"/>
      <c r="C33" s="118"/>
      <c r="D33" s="118"/>
      <c r="E33" s="765"/>
      <c r="F33" s="765"/>
      <c r="G33" s="118"/>
      <c r="H33" s="766"/>
      <c r="I33" s="766"/>
      <c r="J33" s="118"/>
    </row>
    <row r="34" spans="1:10" ht="18.75" customHeight="1">
      <c r="A34" s="119" t="s">
        <v>427</v>
      </c>
      <c r="B34" s="120"/>
      <c r="C34" s="121"/>
      <c r="D34" s="121"/>
      <c r="E34" s="767"/>
      <c r="F34" s="767"/>
      <c r="G34" s="121"/>
      <c r="H34" s="768"/>
      <c r="I34" s="768"/>
      <c r="J34" s="121"/>
    </row>
    <row r="35" spans="1:10" ht="12.75" customHeight="1">
      <c r="A35" s="122"/>
      <c r="B35" s="123" t="s">
        <v>428</v>
      </c>
      <c r="C35" s="95"/>
    </row>
    <row r="36" spans="1:10" ht="12" customHeight="1">
      <c r="C36" s="124"/>
      <c r="D36" s="1"/>
      <c r="F36" s="29"/>
      <c r="G36" s="29"/>
    </row>
    <row r="37" spans="1:10">
      <c r="D37" s="95"/>
    </row>
    <row r="40" spans="1:10">
      <c r="I40" s="125"/>
    </row>
    <row r="44" spans="1:10">
      <c r="E44" s="126"/>
    </row>
    <row r="47" spans="1:10">
      <c r="D47" s="95"/>
    </row>
    <row r="48" spans="1:10">
      <c r="A48" s="122"/>
    </row>
    <row r="50" hidden="1"/>
  </sheetData>
  <mergeCells count="66">
    <mergeCell ref="B1:J1"/>
    <mergeCell ref="B5:D5"/>
    <mergeCell ref="E5:G5"/>
    <mergeCell ref="H5:J5"/>
    <mergeCell ref="B6:D6"/>
    <mergeCell ref="E6:G6"/>
    <mergeCell ref="H6:J6"/>
    <mergeCell ref="B7:D7"/>
    <mergeCell ref="E7:I7"/>
    <mergeCell ref="J7:J8"/>
    <mergeCell ref="B8:D8"/>
    <mergeCell ref="E8:G8"/>
    <mergeCell ref="B9:B10"/>
    <mergeCell ref="E9:F9"/>
    <mergeCell ref="G9:I9"/>
    <mergeCell ref="E10:F10"/>
    <mergeCell ref="H10:I10"/>
    <mergeCell ref="A11:A26"/>
    <mergeCell ref="E11:F11"/>
    <mergeCell ref="H11:I11"/>
    <mergeCell ref="E12:F12"/>
    <mergeCell ref="H12:I12"/>
    <mergeCell ref="E13:F13"/>
    <mergeCell ref="H13:I13"/>
    <mergeCell ref="E14:F14"/>
    <mergeCell ref="H14:I14"/>
    <mergeCell ref="E15:F15"/>
    <mergeCell ref="H15:I15"/>
    <mergeCell ref="E16:F16"/>
    <mergeCell ref="H16:I16"/>
    <mergeCell ref="E17:F17"/>
    <mergeCell ref="H17:I17"/>
    <mergeCell ref="E18:F18"/>
    <mergeCell ref="H18:I18"/>
    <mergeCell ref="E19:F19"/>
    <mergeCell ref="H19:I19"/>
    <mergeCell ref="E20:F20"/>
    <mergeCell ref="H20:I20"/>
    <mergeCell ref="E21:F21"/>
    <mergeCell ref="H21:I21"/>
    <mergeCell ref="E22:F22"/>
    <mergeCell ref="H22:I22"/>
    <mergeCell ref="E23:F23"/>
    <mergeCell ref="H23:I23"/>
    <mergeCell ref="E24:F24"/>
    <mergeCell ref="H24:I24"/>
    <mergeCell ref="E25:F25"/>
    <mergeCell ref="H25:I25"/>
    <mergeCell ref="E26:F26"/>
    <mergeCell ref="H26:I26"/>
    <mergeCell ref="E27:F27"/>
    <mergeCell ref="H27:I27"/>
    <mergeCell ref="E28:F28"/>
    <mergeCell ref="H28:I28"/>
    <mergeCell ref="E29:F29"/>
    <mergeCell ref="H29:I29"/>
    <mergeCell ref="E33:F33"/>
    <mergeCell ref="H33:I33"/>
    <mergeCell ref="E34:F34"/>
    <mergeCell ref="H34:I34"/>
    <mergeCell ref="E30:F30"/>
    <mergeCell ref="H30:I30"/>
    <mergeCell ref="E31:F31"/>
    <mergeCell ref="H31:I31"/>
    <mergeCell ref="E32:F32"/>
    <mergeCell ref="H32:I32"/>
  </mergeCells>
  <phoneticPr fontId="123" type="noConversion"/>
  <printOptions horizontalCentered="1"/>
  <pageMargins left="0.59027777777777801" right="0.39374999999999999" top="0.78749999999999998" bottom="0.39374999999999999" header="0.511811023622047" footer="0.511811023622047"/>
  <pageSetup paperSize="9" scale="9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MJ47"/>
  <sheetViews>
    <sheetView showGridLines="0" view="pageBreakPreview" workbookViewId="0">
      <selection activeCell="B24" sqref="B24"/>
    </sheetView>
  </sheetViews>
  <sheetFormatPr defaultColWidth="3" defaultRowHeight="12.75"/>
  <cols>
    <col min="1" max="1" width="6.5703125" style="94" customWidth="1"/>
    <col min="2" max="2" width="4" style="94" customWidth="1"/>
    <col min="3" max="3" width="25.85546875" style="94" customWidth="1"/>
    <col min="4" max="4" width="10.42578125" style="94" customWidth="1"/>
    <col min="5" max="5" width="2.28515625" style="94" customWidth="1"/>
    <col min="6" max="6" width="7.5703125" style="94" customWidth="1"/>
    <col min="7" max="7" width="8.85546875" style="94" customWidth="1"/>
    <col min="8" max="8" width="2.140625" style="94" customWidth="1"/>
    <col min="9" max="9" width="16" style="94" customWidth="1"/>
    <col min="10" max="10" width="12.28515625" style="94" customWidth="1"/>
    <col min="11" max="1024" width="3" style="94"/>
  </cols>
  <sheetData>
    <row r="1" spans="1:16" ht="15.75">
      <c r="B1" s="783" t="s">
        <v>410</v>
      </c>
      <c r="C1" s="783"/>
      <c r="D1" s="783"/>
      <c r="E1" s="783"/>
      <c r="F1" s="783"/>
      <c r="G1" s="783"/>
      <c r="H1" s="783"/>
      <c r="I1" s="783"/>
      <c r="J1" s="783"/>
    </row>
    <row r="3" spans="1:16" s="95" customFormat="1" ht="9.75" customHeight="1">
      <c r="I3" s="96"/>
      <c r="J3" s="97" t="s">
        <v>411</v>
      </c>
    </row>
    <row r="4" spans="1:16" s="94" customFormat="1" ht="10.5" customHeight="1">
      <c r="E4" s="98"/>
      <c r="F4" s="99" t="s">
        <v>412</v>
      </c>
      <c r="H4" s="98" t="s">
        <v>398</v>
      </c>
      <c r="I4" s="99" t="s">
        <v>413</v>
      </c>
      <c r="J4" s="100">
        <v>1</v>
      </c>
    </row>
    <row r="5" spans="1:16" s="94" customFormat="1" ht="8.25" customHeight="1">
      <c r="B5" s="800" t="s">
        <v>414</v>
      </c>
      <c r="C5" s="800"/>
      <c r="D5" s="800"/>
      <c r="E5" s="785" t="s">
        <v>429</v>
      </c>
      <c r="F5" s="785"/>
      <c r="G5" s="785"/>
      <c r="H5" s="785" t="s">
        <v>664</v>
      </c>
      <c r="I5" s="785"/>
      <c r="J5" s="785"/>
    </row>
    <row r="6" spans="1:16" s="101" customFormat="1" ht="15" customHeight="1">
      <c r="B6" s="781" t="str">
        <f>Input!D2</f>
        <v>HANNA</v>
      </c>
      <c r="C6" s="781"/>
      <c r="D6" s="781"/>
      <c r="E6" s="801" t="str">
        <f>Input!D12</f>
        <v>Napoli</v>
      </c>
      <c r="F6" s="801"/>
      <c r="G6" s="801"/>
      <c r="H6" s="802">
        <f>Input!D10</f>
        <v>46168</v>
      </c>
      <c r="I6" s="803"/>
      <c r="J6" s="804"/>
    </row>
    <row r="7" spans="1:16" s="94" customFormat="1" ht="12.75" customHeight="1">
      <c r="B7" s="800" t="s">
        <v>417</v>
      </c>
      <c r="C7" s="800"/>
      <c r="D7" s="800"/>
      <c r="E7" s="800" t="s">
        <v>430</v>
      </c>
      <c r="F7" s="800"/>
      <c r="G7" s="800"/>
      <c r="H7" s="800"/>
      <c r="I7" s="800"/>
      <c r="J7" s="780" t="s">
        <v>625</v>
      </c>
    </row>
    <row r="8" spans="1:16" s="94" customFormat="1" ht="15" customHeight="1">
      <c r="B8" s="805" t="str">
        <f>Input!D4</f>
        <v>Cyprus</v>
      </c>
      <c r="C8" s="805"/>
      <c r="D8" s="805"/>
      <c r="E8" s="806" t="str">
        <f>Input!D16</f>
        <v>La Spezia</v>
      </c>
      <c r="F8" s="806"/>
      <c r="G8" s="806"/>
      <c r="H8" s="806"/>
      <c r="I8" s="806"/>
      <c r="J8" s="780"/>
      <c r="K8" s="103"/>
    </row>
    <row r="9" spans="1:16" s="94" customFormat="1" ht="8.25" customHeight="1">
      <c r="B9" s="127" t="s">
        <v>431</v>
      </c>
      <c r="C9" s="104" t="s">
        <v>422</v>
      </c>
      <c r="D9" s="104" t="s">
        <v>423</v>
      </c>
      <c r="E9" s="800" t="s">
        <v>424</v>
      </c>
      <c r="F9" s="800"/>
      <c r="G9" s="800" t="s">
        <v>425</v>
      </c>
      <c r="H9" s="800"/>
      <c r="I9" s="800"/>
      <c r="J9" s="105" t="s">
        <v>36</v>
      </c>
    </row>
    <row r="10" spans="1:16" s="94" customFormat="1" ht="10.5" customHeight="1">
      <c r="B10" s="107"/>
      <c r="C10" s="106"/>
      <c r="D10" s="106"/>
      <c r="E10" s="777"/>
      <c r="F10" s="777"/>
      <c r="G10" s="107"/>
      <c r="H10" s="778"/>
      <c r="I10" s="778"/>
      <c r="J10" s="13" t="s">
        <v>21</v>
      </c>
    </row>
    <row r="11" spans="1:16" ht="24.75" customHeight="1">
      <c r="A11" s="799" t="s">
        <v>426</v>
      </c>
      <c r="B11" s="128">
        <f>Input!K6</f>
        <v>1</v>
      </c>
      <c r="C11" s="129" t="str">
        <f>Input!L6</f>
        <v>ZHYKHARIEV, Dmytro</v>
      </c>
      <c r="D11" s="130" t="str">
        <f>Input!M6</f>
        <v>Master</v>
      </c>
      <c r="E11" s="797" t="str">
        <f>Input!N6</f>
        <v>Ukraine</v>
      </c>
      <c r="F11" s="797"/>
      <c r="G11" s="131">
        <f>Input!P6</f>
        <v>31731</v>
      </c>
      <c r="H11" s="798" t="str">
        <f>Input!Q6</f>
        <v>Ukraine, Kherson</v>
      </c>
      <c r="I11" s="798"/>
      <c r="J11" s="515" t="str">
        <f>Input!S6</f>
        <v xml:space="preserve">FH557277 </v>
      </c>
    </row>
    <row r="12" spans="1:16" ht="24.75" customHeight="1">
      <c r="A12" s="799"/>
      <c r="B12" s="128">
        <f>Input!K7</f>
        <v>2</v>
      </c>
      <c r="C12" s="129" t="str">
        <f>Input!L7</f>
        <v>LAURENTE, Artemio Belza</v>
      </c>
      <c r="D12" s="130" t="str">
        <f>Input!M7</f>
        <v>Ch.Off</v>
      </c>
      <c r="E12" s="795" t="str">
        <f>Input!N7</f>
        <v>Philippines</v>
      </c>
      <c r="F12" s="795"/>
      <c r="G12" s="131">
        <f>Input!P7</f>
        <v>31920</v>
      </c>
      <c r="H12" s="792" t="str">
        <f>Input!Q7</f>
        <v>Barugo, Leyte</v>
      </c>
      <c r="I12" s="792"/>
      <c r="J12" s="492" t="str">
        <f>Input!S7</f>
        <v>P3901669B</v>
      </c>
    </row>
    <row r="13" spans="1:16" ht="24.75" customHeight="1">
      <c r="A13" s="799"/>
      <c r="B13" s="128">
        <f>Input!K8</f>
        <v>3</v>
      </c>
      <c r="C13" s="129" t="str">
        <f>Input!L8</f>
        <v>MAKAR, Maksym</v>
      </c>
      <c r="D13" s="130" t="str">
        <f>Input!M8</f>
        <v>2nd Off</v>
      </c>
      <c r="E13" s="795" t="str">
        <f>Input!N8</f>
        <v>Ukraine</v>
      </c>
      <c r="F13" s="795"/>
      <c r="G13" s="131">
        <f>Input!P8</f>
        <v>33186</v>
      </c>
      <c r="H13" s="792" t="str">
        <f>Input!Q8</f>
        <v>Ukraine, Odessa</v>
      </c>
      <c r="I13" s="792"/>
      <c r="J13" s="114" t="str">
        <f>Input!S8</f>
        <v>FK832567</v>
      </c>
      <c r="P13" s="94" t="s">
        <v>0</v>
      </c>
    </row>
    <row r="14" spans="1:16" ht="24.75" customHeight="1">
      <c r="A14" s="799"/>
      <c r="B14" s="128">
        <f>Input!K9</f>
        <v>4</v>
      </c>
      <c r="C14" s="129" t="str">
        <f>Input!L9</f>
        <v>ZADOROZHNY, Sergiy</v>
      </c>
      <c r="D14" s="130" t="str">
        <f>Input!M9</f>
        <v>Ch.Eng</v>
      </c>
      <c r="E14" s="795" t="str">
        <f>Input!N9</f>
        <v>Ukraine</v>
      </c>
      <c r="F14" s="795"/>
      <c r="G14" s="131">
        <f>Input!P9</f>
        <v>21788</v>
      </c>
      <c r="H14" s="792" t="str">
        <f>Input!Q9</f>
        <v>Ukraine, Odessa</v>
      </c>
      <c r="I14" s="792"/>
      <c r="J14" s="114" t="str">
        <f>Input!S9</f>
        <v>FU050737</v>
      </c>
      <c r="K14" s="27"/>
    </row>
    <row r="15" spans="1:16" ht="24.75" customHeight="1">
      <c r="A15" s="799"/>
      <c r="B15" s="128">
        <f>Input!K10</f>
        <v>5</v>
      </c>
      <c r="C15" s="129" t="str">
        <f>Input!L10</f>
        <v>HONCHAR, Yurii</v>
      </c>
      <c r="D15" s="130" t="str">
        <f>Input!M10</f>
        <v>2nd Eng</v>
      </c>
      <c r="E15" s="795" t="str">
        <f>Input!N10</f>
        <v>Ukraine</v>
      </c>
      <c r="F15" s="795"/>
      <c r="G15" s="131">
        <f>Input!P10</f>
        <v>31151</v>
      </c>
      <c r="H15" s="792" t="str">
        <f>Input!Q10</f>
        <v>Ukraine</v>
      </c>
      <c r="I15" s="792"/>
      <c r="J15" s="114" t="str">
        <f>Input!S10</f>
        <v>GJ014077</v>
      </c>
      <c r="K15" s="27"/>
    </row>
    <row r="16" spans="1:16" ht="24.75" customHeight="1">
      <c r="A16" s="799"/>
      <c r="B16" s="128">
        <f>Input!K11</f>
        <v>6</v>
      </c>
      <c r="C16" s="129" t="str">
        <f>Input!L11</f>
        <v>CORCINO, Renand Aparece</v>
      </c>
      <c r="D16" s="130" t="str">
        <f>Input!M11</f>
        <v>A/B</v>
      </c>
      <c r="E16" s="769" t="str">
        <f>Input!N11</f>
        <v>Philippines</v>
      </c>
      <c r="F16" s="769"/>
      <c r="G16" s="131">
        <f>Input!P11</f>
        <v>33807</v>
      </c>
      <c r="H16" s="792" t="str">
        <f>Input!Q11</f>
        <v>Inabanga, Bohol</v>
      </c>
      <c r="I16" s="792"/>
      <c r="J16" s="114" t="str">
        <f>Input!S11</f>
        <v>P3970180B</v>
      </c>
    </row>
    <row r="17" spans="1:11" ht="24.75" customHeight="1">
      <c r="A17" s="799"/>
      <c r="B17" s="128">
        <f>Input!K12</f>
        <v>7</v>
      </c>
      <c r="C17" s="129" t="str">
        <f>Input!L12</f>
        <v>BANEZ, John Kenneth Rebundas</v>
      </c>
      <c r="D17" s="130" t="str">
        <f>Input!M12</f>
        <v>O/S</v>
      </c>
      <c r="E17" s="796" t="str">
        <f>Input!N12</f>
        <v>Philippines</v>
      </c>
      <c r="F17" s="796"/>
      <c r="G17" s="131">
        <f>Input!P12</f>
        <v>36429</v>
      </c>
      <c r="H17" s="792" t="str">
        <f>Input!Q12</f>
        <v>Malolos, Bulacan</v>
      </c>
      <c r="I17" s="792"/>
      <c r="J17" s="114" t="str">
        <f>Input!S12</f>
        <v>P1370110C</v>
      </c>
    </row>
    <row r="18" spans="1:11" ht="24.75" customHeight="1">
      <c r="A18" s="799"/>
      <c r="B18" s="128">
        <f>Input!K13</f>
        <v>8</v>
      </c>
      <c r="C18" s="129" t="str">
        <f>Input!L13</f>
        <v>PERNIA, James Malitao</v>
      </c>
      <c r="D18" s="130" t="str">
        <f>Input!M13</f>
        <v>O/S</v>
      </c>
      <c r="E18" s="795" t="str">
        <f>Input!N13</f>
        <v>Philippines</v>
      </c>
      <c r="F18" s="795"/>
      <c r="G18" s="131">
        <f>Input!P13</f>
        <v>36100</v>
      </c>
      <c r="H18" s="792" t="str">
        <f>Input!Q13</f>
        <v>Buenavista, Marinduque</v>
      </c>
      <c r="I18" s="792"/>
      <c r="J18" s="114" t="str">
        <f>Input!S13</f>
        <v>P7743571B</v>
      </c>
    </row>
    <row r="19" spans="1:11" ht="24.75" customHeight="1">
      <c r="A19" s="799"/>
      <c r="B19" s="128">
        <f>Input!K14</f>
        <v>9</v>
      </c>
      <c r="C19" s="129" t="str">
        <f>Input!L14</f>
        <v>CANTOS, Philip Justin Perez</v>
      </c>
      <c r="D19" s="130" t="str">
        <f>Input!M14</f>
        <v>O/S</v>
      </c>
      <c r="E19" s="795" t="str">
        <f>Input!N14</f>
        <v>Philippines</v>
      </c>
      <c r="F19" s="795"/>
      <c r="G19" s="131">
        <f>Input!P14</f>
        <v>36743</v>
      </c>
      <c r="H19" s="792" t="str">
        <f>Input!Q14</f>
        <v>Batangas City</v>
      </c>
      <c r="I19" s="792"/>
      <c r="J19" s="114" t="str">
        <f>Input!S14</f>
        <v>P5075641C</v>
      </c>
    </row>
    <row r="20" spans="1:11" ht="24.75" customHeight="1">
      <c r="A20" s="799"/>
      <c r="B20" s="128">
        <f>Input!K15</f>
        <v>10</v>
      </c>
      <c r="C20" s="129" t="str">
        <f>Input!L15</f>
        <v>ROMULO, Roland Bong Rosal</v>
      </c>
      <c r="D20" s="130" t="str">
        <f>Input!M15</f>
        <v>O/S</v>
      </c>
      <c r="E20" s="795" t="str">
        <f>Input!N15</f>
        <v>Philippines</v>
      </c>
      <c r="F20" s="795"/>
      <c r="G20" s="131">
        <f>Input!P15</f>
        <v>36517</v>
      </c>
      <c r="H20" s="792" t="str">
        <f>Input!Q15</f>
        <v>Manila</v>
      </c>
      <c r="I20" s="792"/>
      <c r="J20" s="114" t="str">
        <f>Input!S15</f>
        <v>P7652618B</v>
      </c>
    </row>
    <row r="21" spans="1:11" ht="24.75" customHeight="1">
      <c r="A21" s="799"/>
      <c r="B21" s="128">
        <f>Input!K16</f>
        <v>11</v>
      </c>
      <c r="C21" s="129" t="str">
        <f>Input!L16</f>
        <v>MATALUBOS, Gerald Maniapao</v>
      </c>
      <c r="D21" s="130" t="str">
        <f>Input!M16</f>
        <v>Wiper</v>
      </c>
      <c r="E21" s="769" t="str">
        <f>Input!N16</f>
        <v>Philippines</v>
      </c>
      <c r="F21" s="769"/>
      <c r="G21" s="131">
        <f>Input!P16</f>
        <v>36614</v>
      </c>
      <c r="H21" s="792" t="str">
        <f>Input!Q16</f>
        <v>Navotas, Metro Manila</v>
      </c>
      <c r="I21" s="792"/>
      <c r="J21" s="114" t="str">
        <f>Input!S16</f>
        <v>P0009456C</v>
      </c>
      <c r="K21" s="103"/>
    </row>
    <row r="22" spans="1:11" ht="24.75" customHeight="1">
      <c r="A22" s="799"/>
      <c r="B22" s="128">
        <f>Input!K17</f>
        <v>12</v>
      </c>
      <c r="C22" s="129" t="str">
        <f>Input!L17</f>
        <v>BERNABE, Brian Malaluan</v>
      </c>
      <c r="D22" s="130" t="str">
        <f>Input!M17</f>
        <v>Cook</v>
      </c>
      <c r="E22" s="769" t="str">
        <f>Input!N17</f>
        <v>Philippines</v>
      </c>
      <c r="F22" s="769"/>
      <c r="G22" s="131">
        <f>Input!P17</f>
        <v>31894</v>
      </c>
      <c r="H22" s="792" t="str">
        <f>Input!Q17</f>
        <v>Koronadal So. Cot.</v>
      </c>
      <c r="I22" s="792"/>
      <c r="J22" s="114" t="str">
        <f>Input!S17</f>
        <v>P8802413B</v>
      </c>
    </row>
    <row r="23" spans="1:11" ht="19.5" customHeight="1">
      <c r="A23" s="799"/>
      <c r="B23" s="128">
        <f>Input!K18</f>
        <v>13</v>
      </c>
      <c r="C23" s="129" t="str">
        <f>Input!L18</f>
        <v>SISON, Jan Randell Rollo</v>
      </c>
      <c r="D23" s="130" t="str">
        <f>Input!M18</f>
        <v>Dcad</v>
      </c>
      <c r="E23" s="769" t="str">
        <f>Input!N18</f>
        <v>Philippines</v>
      </c>
      <c r="F23" s="769"/>
      <c r="G23" s="131">
        <f>Input!P18</f>
        <v>37407</v>
      </c>
      <c r="H23" s="792" t="str">
        <f>Input!Q18</f>
        <v>Alaminos City</v>
      </c>
      <c r="I23" s="792"/>
      <c r="J23" s="424" t="str">
        <f>Input!S18</f>
        <v>P5175257C</v>
      </c>
    </row>
    <row r="24" spans="1:11" ht="19.5" customHeight="1">
      <c r="A24" s="799"/>
      <c r="B24" s="128"/>
      <c r="C24" s="129"/>
      <c r="D24" s="130"/>
      <c r="E24" s="769"/>
      <c r="F24" s="769"/>
      <c r="G24" s="131"/>
      <c r="H24" s="792"/>
      <c r="I24" s="792"/>
      <c r="J24" s="424"/>
      <c r="K24" s="103"/>
    </row>
    <row r="25" spans="1:11" ht="19.5" customHeight="1">
      <c r="A25" s="799"/>
      <c r="B25" s="115"/>
      <c r="C25" s="25"/>
      <c r="D25" s="16"/>
      <c r="E25" s="793"/>
      <c r="F25" s="793"/>
      <c r="G25" s="20"/>
      <c r="H25" s="794"/>
      <c r="I25" s="794"/>
      <c r="J25" s="18"/>
    </row>
    <row r="26" spans="1:11" ht="19.5" customHeight="1">
      <c r="A26" s="799"/>
      <c r="B26" s="115"/>
      <c r="C26" s="116"/>
      <c r="D26" s="115"/>
      <c r="E26" s="765"/>
      <c r="F26" s="765"/>
      <c r="G26" s="132"/>
      <c r="H26" s="788"/>
      <c r="I26" s="788"/>
      <c r="J26" s="133"/>
    </row>
    <row r="27" spans="1:11" ht="19.5" customHeight="1">
      <c r="A27" s="475"/>
      <c r="B27" s="115"/>
      <c r="C27" s="116"/>
      <c r="D27" s="115"/>
      <c r="E27" s="765"/>
      <c r="F27" s="765"/>
      <c r="G27" s="134"/>
      <c r="H27" s="788"/>
      <c r="I27" s="788"/>
      <c r="J27" s="17"/>
    </row>
    <row r="28" spans="1:11" ht="19.5" customHeight="1">
      <c r="A28" s="474"/>
      <c r="B28" s="115"/>
      <c r="C28" s="116"/>
      <c r="D28" s="115"/>
      <c r="E28" s="765"/>
      <c r="F28" s="765"/>
      <c r="G28" s="134"/>
      <c r="H28" s="788"/>
      <c r="I28" s="788"/>
      <c r="J28" s="17"/>
    </row>
    <row r="29" spans="1:11" ht="19.5" customHeight="1">
      <c r="A29" s="474"/>
      <c r="B29" s="115"/>
      <c r="C29" s="116"/>
      <c r="D29" s="115"/>
      <c r="E29" s="765"/>
      <c r="F29" s="765"/>
      <c r="G29" s="134"/>
      <c r="H29" s="788"/>
      <c r="I29" s="788"/>
      <c r="J29" s="17"/>
    </row>
    <row r="30" spans="1:11" ht="19.5" customHeight="1">
      <c r="B30" s="115"/>
      <c r="C30" s="118"/>
      <c r="D30" s="118"/>
      <c r="E30" s="765"/>
      <c r="F30" s="765"/>
      <c r="G30" s="135"/>
      <c r="H30" s="790"/>
      <c r="I30" s="790"/>
      <c r="J30" s="118"/>
    </row>
    <row r="31" spans="1:11" ht="19.5" customHeight="1">
      <c r="B31" s="115"/>
      <c r="C31" s="118"/>
      <c r="D31" s="118"/>
      <c r="E31" s="765"/>
      <c r="F31" s="765"/>
      <c r="G31" s="135"/>
      <c r="H31" s="791"/>
      <c r="I31" s="791"/>
      <c r="J31" s="118"/>
    </row>
    <row r="32" spans="1:11" ht="19.5" customHeight="1">
      <c r="B32" s="115"/>
      <c r="C32" s="118"/>
      <c r="D32" s="118"/>
      <c r="E32" s="765"/>
      <c r="F32" s="765"/>
      <c r="G32" s="135"/>
      <c r="H32" s="788"/>
      <c r="I32" s="788"/>
      <c r="J32" s="118"/>
    </row>
    <row r="33" spans="1:10" ht="18.75" customHeight="1">
      <c r="A33" s="119" t="s">
        <v>427</v>
      </c>
      <c r="B33" s="120"/>
      <c r="C33" s="121"/>
      <c r="D33" s="121"/>
      <c r="E33" s="767"/>
      <c r="F33" s="767"/>
      <c r="G33" s="136"/>
      <c r="H33" s="789"/>
      <c r="I33" s="789"/>
      <c r="J33" s="121"/>
    </row>
    <row r="34" spans="1:10" ht="12.75" customHeight="1">
      <c r="A34" s="122"/>
      <c r="B34" s="123" t="s">
        <v>428</v>
      </c>
      <c r="C34" s="95"/>
    </row>
    <row r="35" spans="1:10" ht="12" customHeight="1">
      <c r="C35" s="124"/>
      <c r="D35" s="1"/>
      <c r="F35" s="29"/>
      <c r="G35" s="29"/>
    </row>
    <row r="36" spans="1:10">
      <c r="D36" s="95"/>
    </row>
    <row r="39" spans="1:10">
      <c r="I39" s="125"/>
    </row>
    <row r="43" spans="1:10">
      <c r="E43" s="126" t="s">
        <v>432</v>
      </c>
    </row>
    <row r="46" spans="1:10">
      <c r="D46" s="95"/>
    </row>
    <row r="47" spans="1:10">
      <c r="A47" s="122"/>
    </row>
  </sheetData>
  <mergeCells count="63">
    <mergeCell ref="A11:A26"/>
    <mergeCell ref="B1:J1"/>
    <mergeCell ref="B5:D5"/>
    <mergeCell ref="E5:G5"/>
    <mergeCell ref="H5:J5"/>
    <mergeCell ref="B6:D6"/>
    <mergeCell ref="E6:G6"/>
    <mergeCell ref="H6:J6"/>
    <mergeCell ref="B7:D7"/>
    <mergeCell ref="E7:I7"/>
    <mergeCell ref="J7:J8"/>
    <mergeCell ref="B8:D8"/>
    <mergeCell ref="E8:I8"/>
    <mergeCell ref="E9:F9"/>
    <mergeCell ref="G9:I9"/>
    <mergeCell ref="E10:F10"/>
    <mergeCell ref="H10:I10"/>
    <mergeCell ref="E11:F11"/>
    <mergeCell ref="H11:I11"/>
    <mergeCell ref="E12:F12"/>
    <mergeCell ref="H12:I12"/>
    <mergeCell ref="E13:F13"/>
    <mergeCell ref="H13:I13"/>
    <mergeCell ref="E14:F14"/>
    <mergeCell ref="H14:I14"/>
    <mergeCell ref="E15:F15"/>
    <mergeCell ref="H15:I15"/>
    <mergeCell ref="E16:F16"/>
    <mergeCell ref="H16:I16"/>
    <mergeCell ref="E17:F17"/>
    <mergeCell ref="H17:I17"/>
    <mergeCell ref="E18:F18"/>
    <mergeCell ref="H18:I18"/>
    <mergeCell ref="E19:F19"/>
    <mergeCell ref="H19:I19"/>
    <mergeCell ref="E20:F20"/>
    <mergeCell ref="H20:I20"/>
    <mergeCell ref="E21:F21"/>
    <mergeCell ref="H21:I21"/>
    <mergeCell ref="E22:F22"/>
    <mergeCell ref="H22:I22"/>
    <mergeCell ref="H28:I28"/>
    <mergeCell ref="E23:F23"/>
    <mergeCell ref="H23:I23"/>
    <mergeCell ref="E24:F24"/>
    <mergeCell ref="H24:I24"/>
    <mergeCell ref="E25:F25"/>
    <mergeCell ref="H25:I25"/>
    <mergeCell ref="E33:F33"/>
    <mergeCell ref="H33:I33"/>
    <mergeCell ref="E30:F30"/>
    <mergeCell ref="H30:I30"/>
    <mergeCell ref="E31:F31"/>
    <mergeCell ref="H31:I31"/>
    <mergeCell ref="E32:F32"/>
    <mergeCell ref="H32:I32"/>
    <mergeCell ref="E29:F29"/>
    <mergeCell ref="H29:I29"/>
    <mergeCell ref="E26:F26"/>
    <mergeCell ref="H26:I26"/>
    <mergeCell ref="E27:F27"/>
    <mergeCell ref="H27:I27"/>
    <mergeCell ref="E28:F28"/>
  </mergeCells>
  <printOptions horizontalCentered="1"/>
  <pageMargins left="0.59027777777777801" right="0.39374999999999999" top="0.78749999999999998" bottom="0.39374999999999999" header="0.511811023622047" footer="0.511811023622047"/>
  <pageSetup paperSize="9" scale="91"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F74D-BF17-46A8-B203-AA12EB3EA9DF}">
  <sheetPr>
    <tabColor rgb="FF99FF33"/>
  </sheetPr>
  <dimension ref="A1:AMJ38"/>
  <sheetViews>
    <sheetView showGridLines="0" view="pageBreakPreview" workbookViewId="0">
      <selection activeCell="H21" sqref="H21:I21"/>
    </sheetView>
  </sheetViews>
  <sheetFormatPr defaultColWidth="3" defaultRowHeight="12.75"/>
  <cols>
    <col min="1" max="1" width="6.5703125" style="94" customWidth="1"/>
    <col min="2" max="2" width="4" style="94" customWidth="1"/>
    <col min="3" max="3" width="30.7109375" style="94" customWidth="1"/>
    <col min="4" max="4" width="10.42578125" style="94" customWidth="1"/>
    <col min="5" max="5" width="2.28515625" style="94" customWidth="1"/>
    <col min="6" max="6" width="7.42578125" style="94" customWidth="1"/>
    <col min="7" max="7" width="8.85546875" style="94" customWidth="1"/>
    <col min="8" max="8" width="2.140625" style="94" customWidth="1"/>
    <col min="9" max="9" width="16" style="94" customWidth="1"/>
    <col min="10" max="10" width="14.28515625" style="94" customWidth="1"/>
    <col min="11" max="11" width="13.7109375" style="94" customWidth="1"/>
    <col min="12" max="12" width="12.7109375" style="94" customWidth="1"/>
    <col min="13" max="13" width="9.28515625" style="94" customWidth="1"/>
    <col min="14" max="14" width="9.7109375" style="94" customWidth="1"/>
    <col min="15" max="1024" width="3" style="94"/>
  </cols>
  <sheetData>
    <row r="1" spans="1:16" ht="15.75">
      <c r="B1" s="783" t="s">
        <v>410</v>
      </c>
      <c r="C1" s="783"/>
      <c r="D1" s="783"/>
      <c r="E1" s="783"/>
      <c r="F1" s="783"/>
      <c r="G1" s="783"/>
      <c r="H1" s="783"/>
      <c r="I1" s="783"/>
      <c r="J1" s="783"/>
    </row>
    <row r="2" spans="1:16">
      <c r="K2" s="159"/>
    </row>
    <row r="3" spans="1:16" s="95" customFormat="1" ht="9.75" customHeight="1">
      <c r="I3" s="96"/>
      <c r="J3" s="97" t="s">
        <v>411</v>
      </c>
      <c r="L3" s="807" t="s">
        <v>890</v>
      </c>
      <c r="M3" s="97"/>
      <c r="N3" s="97"/>
    </row>
    <row r="4" spans="1:16" s="94" customFormat="1" ht="10.5" customHeight="1">
      <c r="E4" s="98" t="s">
        <v>398</v>
      </c>
      <c r="F4" s="99" t="s">
        <v>412</v>
      </c>
      <c r="H4" s="98"/>
      <c r="I4" s="99" t="s">
        <v>413</v>
      </c>
      <c r="J4" s="100">
        <v>1</v>
      </c>
      <c r="L4" s="808"/>
      <c r="M4" s="808" t="s">
        <v>891</v>
      </c>
      <c r="N4" s="808" t="s">
        <v>892</v>
      </c>
    </row>
    <row r="5" spans="1:16" s="94" customFormat="1" ht="8.25" customHeight="1">
      <c r="B5" s="779" t="s">
        <v>414</v>
      </c>
      <c r="C5" s="779"/>
      <c r="D5" s="779"/>
      <c r="E5" s="784" t="s">
        <v>415</v>
      </c>
      <c r="F5" s="784"/>
      <c r="G5" s="784"/>
      <c r="H5" s="785" t="s">
        <v>416</v>
      </c>
      <c r="I5" s="785"/>
      <c r="J5" s="785"/>
      <c r="L5" s="808"/>
      <c r="M5" s="808"/>
      <c r="N5" s="808"/>
    </row>
    <row r="6" spans="1:16" s="101" customFormat="1" ht="15" customHeight="1">
      <c r="B6" s="781" t="str">
        <f>Input!D2</f>
        <v>HANNA</v>
      </c>
      <c r="C6" s="781"/>
      <c r="D6" s="781"/>
      <c r="E6" s="786" t="str">
        <f>Input!D12</f>
        <v>Napoli</v>
      </c>
      <c r="F6" s="786"/>
      <c r="G6" s="786"/>
      <c r="H6" s="787">
        <f>Input!D8</f>
        <v>46167</v>
      </c>
      <c r="I6" s="787"/>
      <c r="J6" s="787"/>
      <c r="L6" s="808"/>
      <c r="M6" s="808"/>
      <c r="N6" s="808"/>
    </row>
    <row r="7" spans="1:16" s="94" customFormat="1" ht="12.75" customHeight="1">
      <c r="B7" s="815" t="s">
        <v>417</v>
      </c>
      <c r="C7" s="815"/>
      <c r="D7" s="815"/>
      <c r="E7" s="816" t="s">
        <v>418</v>
      </c>
      <c r="F7" s="816"/>
      <c r="G7" s="816"/>
      <c r="H7" s="816"/>
      <c r="I7" s="816"/>
      <c r="J7" s="780" t="s">
        <v>698</v>
      </c>
      <c r="K7" s="810" t="s">
        <v>698</v>
      </c>
      <c r="L7" s="808"/>
      <c r="M7" s="808"/>
      <c r="N7" s="808"/>
    </row>
    <row r="8" spans="1:16" s="94" customFormat="1" ht="15" customHeight="1">
      <c r="B8" s="781" t="str">
        <f>Input!D4</f>
        <v>Cyprus</v>
      </c>
      <c r="C8" s="781"/>
      <c r="D8" s="781"/>
      <c r="E8" s="782" t="str">
        <f>Input!D14</f>
        <v>Alger</v>
      </c>
      <c r="F8" s="782"/>
      <c r="G8" s="782"/>
      <c r="H8" s="102" t="s">
        <v>420</v>
      </c>
      <c r="I8" s="371" t="str">
        <f>Input!D16</f>
        <v>La Spezia</v>
      </c>
      <c r="J8" s="780"/>
      <c r="K8" s="810"/>
      <c r="L8" s="808"/>
      <c r="M8" s="808"/>
      <c r="N8" s="808"/>
    </row>
    <row r="9" spans="1:16" s="94" customFormat="1" ht="8.25" customHeight="1">
      <c r="B9" s="775" t="s">
        <v>421</v>
      </c>
      <c r="C9" s="104" t="s">
        <v>422</v>
      </c>
      <c r="D9" s="104" t="s">
        <v>423</v>
      </c>
      <c r="E9" s="776" t="s">
        <v>424</v>
      </c>
      <c r="F9" s="776"/>
      <c r="G9" s="776" t="s">
        <v>425</v>
      </c>
      <c r="H9" s="776"/>
      <c r="I9" s="776"/>
      <c r="J9" s="105" t="s">
        <v>36</v>
      </c>
      <c r="K9" s="811" t="s">
        <v>889</v>
      </c>
      <c r="L9" s="808"/>
      <c r="M9" s="808"/>
      <c r="N9" s="808"/>
    </row>
    <row r="10" spans="1:16" s="94" customFormat="1" ht="10.5" customHeight="1">
      <c r="B10" s="775"/>
      <c r="C10" s="106"/>
      <c r="D10" s="106"/>
      <c r="E10" s="777"/>
      <c r="F10" s="777"/>
      <c r="G10" s="107"/>
      <c r="H10" s="778"/>
      <c r="I10" s="778"/>
      <c r="J10" s="13" t="s">
        <v>21</v>
      </c>
      <c r="K10" s="812"/>
      <c r="L10" s="809"/>
      <c r="M10" s="809"/>
      <c r="N10" s="809"/>
    </row>
    <row r="11" spans="1:16" ht="25.5" customHeight="1">
      <c r="A11" s="772" t="s">
        <v>426</v>
      </c>
      <c r="B11" s="108">
        <f>Input!K6</f>
        <v>1</v>
      </c>
      <c r="C11" s="370" t="str">
        <f>+Input!L6</f>
        <v>ZHYKHARIEV, Dmytro</v>
      </c>
      <c r="D11" s="109" t="str">
        <f>Input!M6</f>
        <v>Master</v>
      </c>
      <c r="E11" s="773" t="str">
        <f>Input!N6</f>
        <v>Ukraine</v>
      </c>
      <c r="F11" s="773"/>
      <c r="G11" s="110">
        <f>+Input!P6</f>
        <v>31731</v>
      </c>
      <c r="H11" s="774" t="str">
        <f>+Input!Q6</f>
        <v>Ukraine, Kherson</v>
      </c>
      <c r="I11" s="774"/>
      <c r="J11" s="111" t="str">
        <f>Input!S6</f>
        <v xml:space="preserve">FH557277 </v>
      </c>
      <c r="K11" s="109" t="str">
        <f>+Input!T6</f>
        <v>AB662852</v>
      </c>
      <c r="L11" s="494">
        <f>Input!AA6</f>
        <v>46130</v>
      </c>
      <c r="M11" s="130" t="str">
        <f>Input!AB6</f>
        <v>FRMRS</v>
      </c>
      <c r="N11" s="495" t="s">
        <v>893</v>
      </c>
    </row>
    <row r="12" spans="1:16" ht="25.5" customHeight="1">
      <c r="A12" s="772"/>
      <c r="B12" s="112">
        <f>Input!K7</f>
        <v>2</v>
      </c>
      <c r="C12" s="34" t="str">
        <f>Input!L7</f>
        <v>LAURENTE, Artemio Belza</v>
      </c>
      <c r="D12" s="23" t="str">
        <f>Input!M7</f>
        <v>Ch.Off</v>
      </c>
      <c r="E12" s="769" t="str">
        <f>Input!N7</f>
        <v>Philippines</v>
      </c>
      <c r="F12" s="769"/>
      <c r="G12" s="113">
        <f>Input!P7</f>
        <v>31920</v>
      </c>
      <c r="H12" s="770" t="str">
        <f>Input!Q7</f>
        <v>Barugo, Leyte</v>
      </c>
      <c r="I12" s="770"/>
      <c r="J12" s="114" t="str">
        <f>Input!S7</f>
        <v>P3901669B</v>
      </c>
      <c r="K12" s="23" t="str">
        <f>+Input!T7</f>
        <v>C1564756</v>
      </c>
      <c r="L12" s="494">
        <f>Input!AA7</f>
        <v>46153</v>
      </c>
      <c r="M12" s="130" t="str">
        <f>Input!AB7</f>
        <v>FRMRS</v>
      </c>
      <c r="N12" s="495" t="s">
        <v>893</v>
      </c>
    </row>
    <row r="13" spans="1:16" ht="25.5" customHeight="1">
      <c r="A13" s="772"/>
      <c r="B13" s="112">
        <f>Input!K8</f>
        <v>3</v>
      </c>
      <c r="C13" s="34" t="str">
        <f>Input!L8</f>
        <v>MAKAR, Maksym</v>
      </c>
      <c r="D13" s="23" t="str">
        <f>Input!M8</f>
        <v>2nd Off</v>
      </c>
      <c r="E13" s="769" t="str">
        <f>Input!N8</f>
        <v>Ukraine</v>
      </c>
      <c r="F13" s="769"/>
      <c r="G13" s="113">
        <f>Input!P8</f>
        <v>33186</v>
      </c>
      <c r="H13" s="770" t="str">
        <f>Input!Q8</f>
        <v>Ukraine, Odessa</v>
      </c>
      <c r="I13" s="770"/>
      <c r="J13" s="114" t="str">
        <f>Input!S8</f>
        <v>FK832567</v>
      </c>
      <c r="K13" s="23" t="str">
        <f>+Input!T8</f>
        <v>AC004954</v>
      </c>
      <c r="L13" s="494">
        <f>Input!AA8</f>
        <v>46068</v>
      </c>
      <c r="M13" s="130" t="str">
        <f>Input!AB8</f>
        <v>FRMRS</v>
      </c>
      <c r="N13" s="495" t="s">
        <v>895</v>
      </c>
      <c r="P13" s="94" t="s">
        <v>0</v>
      </c>
    </row>
    <row r="14" spans="1:16" ht="25.5" customHeight="1">
      <c r="A14" s="772"/>
      <c r="B14" s="112">
        <f>Input!K9</f>
        <v>4</v>
      </c>
      <c r="C14" s="34" t="str">
        <f>Input!L9</f>
        <v>ZADOROZHNY, Sergiy</v>
      </c>
      <c r="D14" s="23" t="str">
        <f>Input!M9</f>
        <v>Ch.Eng</v>
      </c>
      <c r="E14" s="769" t="str">
        <f>Input!N9</f>
        <v>Ukraine</v>
      </c>
      <c r="F14" s="769"/>
      <c r="G14" s="113">
        <f>Input!P9</f>
        <v>21788</v>
      </c>
      <c r="H14" s="770" t="str">
        <f>Input!Q9</f>
        <v>Ukraine, Odessa</v>
      </c>
      <c r="I14" s="770"/>
      <c r="J14" s="114" t="str">
        <f>Input!S9</f>
        <v>FU050737</v>
      </c>
      <c r="K14" s="23" t="str">
        <f>+Input!T9</f>
        <v>AB640625</v>
      </c>
      <c r="L14" s="494">
        <f>Input!AA9</f>
        <v>46153</v>
      </c>
      <c r="M14" s="130" t="str">
        <f>Input!AB9</f>
        <v>FRMRS</v>
      </c>
      <c r="N14" s="495" t="s">
        <v>893</v>
      </c>
    </row>
    <row r="15" spans="1:16" ht="25.5" customHeight="1">
      <c r="A15" s="772"/>
      <c r="B15" s="112">
        <f>Input!K10</f>
        <v>5</v>
      </c>
      <c r="C15" s="34" t="str">
        <f>Input!L10</f>
        <v>HONCHAR, Yurii</v>
      </c>
      <c r="D15" s="23" t="str">
        <f>Input!M10</f>
        <v>2nd Eng</v>
      </c>
      <c r="E15" s="769" t="str">
        <f>Input!N10</f>
        <v>Ukraine</v>
      </c>
      <c r="F15" s="769"/>
      <c r="G15" s="113">
        <f>Input!P10</f>
        <v>31151</v>
      </c>
      <c r="H15" s="770" t="str">
        <f>Input!Q10</f>
        <v>Ukraine</v>
      </c>
      <c r="I15" s="770"/>
      <c r="J15" s="114" t="str">
        <f>Input!S10</f>
        <v>GJ014077</v>
      </c>
      <c r="K15" s="493" t="str">
        <f>+Input!T10</f>
        <v>AB630373</v>
      </c>
      <c r="L15" s="494">
        <f>Input!AA10</f>
        <v>46059</v>
      </c>
      <c r="M15" s="130" t="str">
        <f>Input!AB10</f>
        <v>DZBJA</v>
      </c>
      <c r="N15" s="495" t="s">
        <v>893</v>
      </c>
    </row>
    <row r="16" spans="1:16" ht="25.5" customHeight="1">
      <c r="A16" s="772"/>
      <c r="B16" s="112">
        <f>Input!K11</f>
        <v>6</v>
      </c>
      <c r="C16" s="34" t="str">
        <f>Input!L11</f>
        <v>CORCINO, Renand Aparece</v>
      </c>
      <c r="D16" s="23" t="str">
        <f>Input!M11</f>
        <v>A/B</v>
      </c>
      <c r="E16" s="769" t="str">
        <f>Input!N11</f>
        <v>Philippines</v>
      </c>
      <c r="F16" s="769"/>
      <c r="G16" s="113">
        <f>Input!P11</f>
        <v>33807</v>
      </c>
      <c r="H16" s="770" t="str">
        <f>Input!Q11</f>
        <v>Inabanga, Bohol</v>
      </c>
      <c r="I16" s="770"/>
      <c r="J16" s="114" t="str">
        <f>Input!S11</f>
        <v>P3970180B</v>
      </c>
      <c r="K16" s="23" t="str">
        <f>+Input!T11</f>
        <v>C1547533</v>
      </c>
      <c r="L16" s="494">
        <f>Input!AA11</f>
        <v>46069</v>
      </c>
      <c r="M16" s="130" t="str">
        <f>Input!AB11</f>
        <v>FRMRS</v>
      </c>
      <c r="N16" s="495" t="s">
        <v>893</v>
      </c>
    </row>
    <row r="17" spans="1:14" ht="25.5" customHeight="1">
      <c r="A17" s="772"/>
      <c r="B17" s="112">
        <f>Input!K12</f>
        <v>7</v>
      </c>
      <c r="C17" s="34" t="str">
        <f>Input!L12</f>
        <v>BANEZ, John Kenneth Rebundas</v>
      </c>
      <c r="D17" s="23" t="str">
        <f>Input!M12</f>
        <v>O/S</v>
      </c>
      <c r="E17" s="769" t="str">
        <f>Input!N12</f>
        <v>Philippines</v>
      </c>
      <c r="F17" s="769"/>
      <c r="G17" s="113">
        <f>Input!P12</f>
        <v>36429</v>
      </c>
      <c r="H17" s="770" t="str">
        <f>Input!Q12</f>
        <v>Malolos, Bulacan</v>
      </c>
      <c r="I17" s="770"/>
      <c r="J17" s="114" t="str">
        <f>Input!S12</f>
        <v>P1370110C</v>
      </c>
      <c r="K17" s="493" t="str">
        <f>+Input!T12</f>
        <v>A0195751</v>
      </c>
      <c r="L17" s="494">
        <f>Input!AA12</f>
        <v>45886</v>
      </c>
      <c r="M17" s="130" t="str">
        <f>Input!AB12</f>
        <v>FRLEH</v>
      </c>
      <c r="N17" s="495" t="s">
        <v>894</v>
      </c>
    </row>
    <row r="18" spans="1:14" ht="25.5" customHeight="1">
      <c r="A18" s="772"/>
      <c r="B18" s="112">
        <f>Input!K13</f>
        <v>8</v>
      </c>
      <c r="C18" s="34" t="str">
        <f>Input!L13</f>
        <v>PERNIA, James Malitao</v>
      </c>
      <c r="D18" s="23" t="str">
        <f>Input!M13</f>
        <v>O/S</v>
      </c>
      <c r="E18" s="769" t="str">
        <f>Input!N13</f>
        <v>Philippines</v>
      </c>
      <c r="F18" s="769"/>
      <c r="G18" s="113">
        <f>Input!P13</f>
        <v>36100</v>
      </c>
      <c r="H18" s="770" t="str">
        <f>Input!Q13</f>
        <v>Buenavista, Marinduque</v>
      </c>
      <c r="I18" s="770"/>
      <c r="J18" s="114" t="str">
        <f>Input!S13</f>
        <v>P7743571B</v>
      </c>
      <c r="K18" s="23" t="str">
        <f>+Input!T13</f>
        <v>C1332465</v>
      </c>
      <c r="L18" s="494">
        <f>Input!AA13</f>
        <v>46068</v>
      </c>
      <c r="M18" s="130" t="str">
        <f>Input!AB13</f>
        <v>FRMRS</v>
      </c>
      <c r="N18" s="495" t="s">
        <v>894</v>
      </c>
    </row>
    <row r="19" spans="1:14" ht="25.5" customHeight="1">
      <c r="A19" s="772"/>
      <c r="B19" s="112">
        <f>Input!K14</f>
        <v>9</v>
      </c>
      <c r="C19" s="34" t="str">
        <f>Input!L14</f>
        <v>CANTOS, Philip Justin Perez</v>
      </c>
      <c r="D19" s="23" t="str">
        <f>Input!M14</f>
        <v>O/S</v>
      </c>
      <c r="E19" s="769" t="str">
        <f>Input!N14</f>
        <v>Philippines</v>
      </c>
      <c r="F19" s="769"/>
      <c r="G19" s="113">
        <f>Input!P14</f>
        <v>36743</v>
      </c>
      <c r="H19" s="770" t="str">
        <f>Input!Q14</f>
        <v>Batangas City</v>
      </c>
      <c r="I19" s="770"/>
      <c r="J19" s="114" t="str">
        <f>Input!S14</f>
        <v>P5075641C</v>
      </c>
      <c r="K19" s="23" t="str">
        <f>+Input!T14</f>
        <v>A0011575</v>
      </c>
      <c r="L19" s="494">
        <f>Input!AA14</f>
        <v>46068</v>
      </c>
      <c r="M19" s="130" t="str">
        <f>Input!AB14</f>
        <v>FRMRS</v>
      </c>
      <c r="N19" s="495" t="s">
        <v>894</v>
      </c>
    </row>
    <row r="20" spans="1:14" ht="25.5" customHeight="1">
      <c r="A20" s="772"/>
      <c r="B20" s="112">
        <f>Input!K15</f>
        <v>10</v>
      </c>
      <c r="C20" s="34" t="str">
        <f>Input!L15</f>
        <v>ROMULO, Roland Bong Rosal</v>
      </c>
      <c r="D20" s="23" t="str">
        <f>Input!M15</f>
        <v>O/S</v>
      </c>
      <c r="E20" s="769" t="str">
        <f>Input!N15</f>
        <v>Philippines</v>
      </c>
      <c r="F20" s="769"/>
      <c r="G20" s="113">
        <f>Input!P15</f>
        <v>36517</v>
      </c>
      <c r="H20" s="770" t="str">
        <f>Input!Q15</f>
        <v>Manila</v>
      </c>
      <c r="I20" s="770"/>
      <c r="J20" s="114" t="str">
        <f>Input!S15</f>
        <v>P7652618B</v>
      </c>
      <c r="K20" s="23" t="str">
        <f>+Input!T15</f>
        <v>A0177653</v>
      </c>
      <c r="L20" s="494">
        <f>Input!AA15</f>
        <v>46068</v>
      </c>
      <c r="M20" s="130" t="str">
        <f>Input!AB15</f>
        <v>BEANR</v>
      </c>
      <c r="N20" s="495" t="s">
        <v>893</v>
      </c>
    </row>
    <row r="21" spans="1:14" ht="25.5" customHeight="1">
      <c r="A21" s="772"/>
      <c r="B21" s="112">
        <f>Input!K16</f>
        <v>11</v>
      </c>
      <c r="C21" s="34" t="str">
        <f>Input!L16</f>
        <v>MATALUBOS, Gerald Maniapao</v>
      </c>
      <c r="D21" s="23" t="str">
        <f>Input!M16</f>
        <v>Wiper</v>
      </c>
      <c r="E21" s="769" t="str">
        <f>Input!N16</f>
        <v>Philippines</v>
      </c>
      <c r="F21" s="769"/>
      <c r="G21" s="113">
        <f>Input!P16</f>
        <v>36614</v>
      </c>
      <c r="H21" s="770" t="str">
        <f>Input!Q16</f>
        <v>Navotas, Metro Manila</v>
      </c>
      <c r="I21" s="770"/>
      <c r="J21" s="114" t="str">
        <f>Input!S16</f>
        <v>P0009456C</v>
      </c>
      <c r="K21" s="493" t="str">
        <f>+Input!T16</f>
        <v>A0154698</v>
      </c>
      <c r="L21" s="494">
        <f>Input!AA16</f>
        <v>46033</v>
      </c>
      <c r="M21" s="130" t="str">
        <f>Input!AB16</f>
        <v>DZALG</v>
      </c>
      <c r="N21" s="495" t="s">
        <v>893</v>
      </c>
    </row>
    <row r="22" spans="1:14" ht="25.5" customHeight="1">
      <c r="A22" s="772"/>
      <c r="B22" s="112">
        <f>Input!K17</f>
        <v>12</v>
      </c>
      <c r="C22" s="34" t="str">
        <f>Input!L17</f>
        <v>BERNABE, Brian Malaluan</v>
      </c>
      <c r="D22" s="23" t="str">
        <f>Input!M17</f>
        <v>Cook</v>
      </c>
      <c r="E22" s="769" t="str">
        <f>Input!N17</f>
        <v>Philippines</v>
      </c>
      <c r="F22" s="769"/>
      <c r="G22" s="113">
        <f>Input!P17</f>
        <v>31894</v>
      </c>
      <c r="H22" s="770" t="str">
        <f>Input!Q17</f>
        <v>Koronadal So. Cot.</v>
      </c>
      <c r="I22" s="770"/>
      <c r="J22" s="114" t="str">
        <f>Input!S17</f>
        <v>P8802413B</v>
      </c>
      <c r="K22" s="23" t="str">
        <f>+Input!T17</f>
        <v>C1254434</v>
      </c>
      <c r="L22" s="494">
        <f>Input!AA17</f>
        <v>46063</v>
      </c>
      <c r="M22" s="130" t="str">
        <f>Input!AB17</f>
        <v>ITSPE</v>
      </c>
      <c r="N22" s="495" t="s">
        <v>893</v>
      </c>
    </row>
    <row r="23" spans="1:14" ht="19.5" customHeight="1">
      <c r="A23" s="772"/>
      <c r="B23" s="619">
        <v>13</v>
      </c>
      <c r="C23" s="34" t="str">
        <f>Input!L18</f>
        <v>SISON, Jan Randell Rollo</v>
      </c>
      <c r="D23" s="23" t="str">
        <f>Input!M18</f>
        <v>Dcad</v>
      </c>
      <c r="E23" s="769" t="str">
        <f>Input!N18</f>
        <v>Philippines</v>
      </c>
      <c r="F23" s="769"/>
      <c r="G23" s="113">
        <f>Input!P18</f>
        <v>37407</v>
      </c>
      <c r="H23" s="770" t="str">
        <f>Input!Q18</f>
        <v>Alaminos City</v>
      </c>
      <c r="I23" s="770"/>
      <c r="J23" s="114" t="str">
        <f>Input!S18</f>
        <v>P5175257C</v>
      </c>
      <c r="K23" s="23" t="str">
        <f>+Input!T18</f>
        <v>A0322770</v>
      </c>
      <c r="L23" s="494">
        <v>46153</v>
      </c>
      <c r="M23" s="130" t="str">
        <f>Input!AB18</f>
        <v>FRMRS</v>
      </c>
      <c r="N23" s="495" t="s">
        <v>894</v>
      </c>
    </row>
    <row r="24" spans="1:14" s="94" customFormat="1" ht="21.75" customHeight="1">
      <c r="A24" s="122"/>
      <c r="B24" s="607"/>
      <c r="C24" s="621"/>
      <c r="D24" s="608"/>
      <c r="E24" s="813"/>
      <c r="F24" s="813"/>
      <c r="G24" s="609"/>
      <c r="H24" s="814"/>
      <c r="I24" s="814"/>
      <c r="J24" s="610"/>
      <c r="K24" s="611"/>
      <c r="L24" s="612"/>
      <c r="M24" s="612"/>
      <c r="N24" s="613"/>
    </row>
    <row r="25" spans="1:14" s="94" customFormat="1" ht="12" customHeight="1">
      <c r="B25" s="123" t="s">
        <v>428</v>
      </c>
      <c r="C25" s="606"/>
    </row>
    <row r="26" spans="1:14" s="94" customFormat="1">
      <c r="C26" s="124"/>
      <c r="D26" s="1"/>
      <c r="F26" s="29"/>
      <c r="G26" s="29"/>
    </row>
    <row r="27" spans="1:14">
      <c r="D27" s="95"/>
    </row>
    <row r="29" spans="1:14" s="94" customFormat="1" ht="8.25"/>
    <row r="30" spans="1:14">
      <c r="I30" s="125"/>
    </row>
    <row r="35" spans="1:4" s="94" customFormat="1" ht="8.25"/>
    <row r="36" spans="1:4" s="94" customFormat="1" ht="9.75">
      <c r="A36" s="122"/>
      <c r="D36" s="95"/>
    </row>
    <row r="38" spans="1:4" s="94" customFormat="1" ht="8.25" hidden="1"/>
  </sheetData>
  <mergeCells count="51">
    <mergeCell ref="B7:D7"/>
    <mergeCell ref="E7:I7"/>
    <mergeCell ref="B9:B10"/>
    <mergeCell ref="E9:F9"/>
    <mergeCell ref="G9:I9"/>
    <mergeCell ref="E10:F10"/>
    <mergeCell ref="H10:I10"/>
    <mergeCell ref="B1:J1"/>
    <mergeCell ref="B5:D5"/>
    <mergeCell ref="E5:G5"/>
    <mergeCell ref="H5:J5"/>
    <mergeCell ref="B6:D6"/>
    <mergeCell ref="E6:G6"/>
    <mergeCell ref="H6:J6"/>
    <mergeCell ref="J7:J8"/>
    <mergeCell ref="B8:D8"/>
    <mergeCell ref="E8:G8"/>
    <mergeCell ref="A11:A23"/>
    <mergeCell ref="E11:F11"/>
    <mergeCell ref="H11:I11"/>
    <mergeCell ref="E12:F12"/>
    <mergeCell ref="H12:I12"/>
    <mergeCell ref="E13:F13"/>
    <mergeCell ref="H13:I13"/>
    <mergeCell ref="E14:F14"/>
    <mergeCell ref="H14:I14"/>
    <mergeCell ref="E15:F15"/>
    <mergeCell ref="H15:I15"/>
    <mergeCell ref="E16:F16"/>
    <mergeCell ref="H16:I16"/>
    <mergeCell ref="E17:F17"/>
    <mergeCell ref="H17:I17"/>
    <mergeCell ref="E22:F22"/>
    <mergeCell ref="H22:I22"/>
    <mergeCell ref="E24:F24"/>
    <mergeCell ref="H24:I24"/>
    <mergeCell ref="E19:F19"/>
    <mergeCell ref="H19:I19"/>
    <mergeCell ref="E20:F20"/>
    <mergeCell ref="H20:I20"/>
    <mergeCell ref="E21:F21"/>
    <mergeCell ref="H21:I21"/>
    <mergeCell ref="E18:F18"/>
    <mergeCell ref="H18:I18"/>
    <mergeCell ref="E23:F23"/>
    <mergeCell ref="H23:I23"/>
    <mergeCell ref="L3:L10"/>
    <mergeCell ref="M4:M10"/>
    <mergeCell ref="N4:N10"/>
    <mergeCell ref="K7:K8"/>
    <mergeCell ref="K9:K10"/>
  </mergeCells>
  <printOptions horizontalCentered="1"/>
  <pageMargins left="0.39370078740157483" right="0.39370078740157483" top="0.78740157480314965" bottom="0.39370078740157483" header="0.51181102362204722" footer="0.51181102362204722"/>
  <pageSetup paperSize="9" scale="9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04A7B"/>
  </sheetPr>
  <dimension ref="A1:AMJ44"/>
  <sheetViews>
    <sheetView showGridLines="0" view="pageBreakPreview" workbookViewId="0">
      <selection activeCell="H25" sqref="H25"/>
    </sheetView>
  </sheetViews>
  <sheetFormatPr defaultColWidth="3" defaultRowHeight="12.75"/>
  <cols>
    <col min="1" max="1" width="2" style="94" customWidth="1"/>
    <col min="2" max="2" width="1" style="94" customWidth="1"/>
    <col min="3" max="3" width="5.42578125" style="94" customWidth="1"/>
    <col min="4" max="4" width="28.7109375" style="94" customWidth="1"/>
    <col min="5" max="5" width="9.28515625" style="11" customWidth="1"/>
    <col min="6" max="8" width="5.7109375" style="94" customWidth="1"/>
    <col min="9" max="9" width="10.5703125" style="94" customWidth="1"/>
    <col min="10" max="10" width="21" style="94" customWidth="1"/>
    <col min="11" max="1024" width="3" style="94"/>
  </cols>
  <sheetData>
    <row r="1" spans="1:24" ht="20.25" customHeight="1">
      <c r="C1" s="783" t="s">
        <v>433</v>
      </c>
      <c r="D1" s="783"/>
      <c r="E1" s="783"/>
      <c r="F1" s="783"/>
      <c r="G1" s="783"/>
      <c r="H1" s="783"/>
      <c r="I1" s="783"/>
      <c r="J1" s="783"/>
    </row>
    <row r="2" spans="1:24" ht="10.5" customHeight="1">
      <c r="J2" s="97" t="s">
        <v>411</v>
      </c>
    </row>
    <row r="3" spans="1:24" s="95" customFormat="1" ht="23.25" customHeight="1">
      <c r="E3" s="137"/>
      <c r="H3" s="96"/>
      <c r="J3" s="138">
        <v>1</v>
      </c>
    </row>
    <row r="4" spans="1:24" s="95" customFormat="1" ht="12" customHeight="1">
      <c r="C4" s="779" t="s">
        <v>414</v>
      </c>
      <c r="D4" s="779"/>
      <c r="E4" s="779"/>
      <c r="F4" s="817" t="s">
        <v>434</v>
      </c>
      <c r="G4" s="817"/>
      <c r="H4" s="817"/>
      <c r="I4" s="817"/>
      <c r="J4" s="817"/>
    </row>
    <row r="5" spans="1:24" s="95" customFormat="1" ht="18" customHeight="1">
      <c r="C5" s="818" t="str">
        <f>Input!D2</f>
        <v>HANNA</v>
      </c>
      <c r="D5" s="818"/>
      <c r="E5" s="818"/>
      <c r="F5" s="817"/>
      <c r="G5" s="817"/>
      <c r="H5" s="817"/>
      <c r="I5" s="817"/>
      <c r="J5" s="817"/>
    </row>
    <row r="6" spans="1:24" ht="10.5" customHeight="1">
      <c r="A6" s="140"/>
      <c r="B6" s="95"/>
      <c r="C6" s="779" t="s">
        <v>435</v>
      </c>
      <c r="D6" s="779"/>
      <c r="E6" s="779"/>
      <c r="F6" s="819" t="s">
        <v>436</v>
      </c>
      <c r="G6" s="819" t="s">
        <v>437</v>
      </c>
      <c r="H6" s="819" t="s">
        <v>438</v>
      </c>
      <c r="I6" s="820" t="s">
        <v>439</v>
      </c>
      <c r="J6" s="104"/>
    </row>
    <row r="7" spans="1:24" ht="18" customHeight="1">
      <c r="A7" s="140"/>
      <c r="B7" s="95"/>
      <c r="C7" s="818" t="str">
        <f>Input!D4</f>
        <v>Cyprus</v>
      </c>
      <c r="D7" s="818"/>
      <c r="E7" s="818"/>
      <c r="F7" s="819"/>
      <c r="G7" s="819"/>
      <c r="H7" s="819"/>
      <c r="I7" s="820"/>
      <c r="J7" s="106"/>
      <c r="K7" s="103"/>
      <c r="O7" s="141" t="s">
        <v>440</v>
      </c>
      <c r="P7" s="142"/>
      <c r="Q7" s="142"/>
      <c r="R7" s="142"/>
    </row>
    <row r="8" spans="1:24" ht="19.5" customHeight="1">
      <c r="A8" s="140"/>
      <c r="B8" s="95"/>
      <c r="C8" s="143" t="s">
        <v>441</v>
      </c>
      <c r="D8" s="144" t="s">
        <v>442</v>
      </c>
      <c r="E8" s="145" t="s">
        <v>443</v>
      </c>
      <c r="F8" s="819"/>
      <c r="G8" s="819"/>
      <c r="H8" s="819"/>
      <c r="I8" s="820"/>
      <c r="J8" s="139" t="s">
        <v>444</v>
      </c>
      <c r="O8" s="146" t="s">
        <v>445</v>
      </c>
      <c r="P8" s="147"/>
      <c r="Q8" s="147"/>
      <c r="R8" s="147"/>
      <c r="S8" s="147"/>
      <c r="T8" s="147"/>
      <c r="U8" s="147"/>
      <c r="V8" s="147"/>
      <c r="W8" s="147"/>
      <c r="X8" s="147"/>
    </row>
    <row r="9" spans="1:24" ht="19.5" customHeight="1">
      <c r="A9" s="772" t="s">
        <v>426</v>
      </c>
      <c r="C9" s="148">
        <v>1</v>
      </c>
      <c r="D9" s="15" t="str">
        <f>'Crew Dep.'!C11</f>
        <v>ZHYKHARIEV, Dmytro</v>
      </c>
      <c r="E9" s="149" t="str">
        <f>'Crew Dep.'!D11</f>
        <v>Master</v>
      </c>
      <c r="F9" s="150"/>
      <c r="G9" s="150"/>
      <c r="H9" s="150"/>
      <c r="I9" s="151" t="s">
        <v>447</v>
      </c>
      <c r="J9" s="152"/>
    </row>
    <row r="10" spans="1:24" ht="19.5" customHeight="1">
      <c r="A10" s="772"/>
      <c r="C10" s="115">
        <v>2</v>
      </c>
      <c r="D10" s="15" t="str">
        <f>'Crew Dep.'!C12</f>
        <v>LAURENTE, Artemio Belza</v>
      </c>
      <c r="E10" s="153" t="str">
        <f>'Crew Dep.'!D12</f>
        <v>Ch.Off</v>
      </c>
      <c r="F10" s="154"/>
      <c r="G10" s="154"/>
      <c r="H10" s="154"/>
      <c r="I10" s="155" t="s">
        <v>447</v>
      </c>
      <c r="J10" s="118"/>
    </row>
    <row r="11" spans="1:24" ht="19.5" customHeight="1">
      <c r="A11" s="772"/>
      <c r="C11" s="115">
        <v>3</v>
      </c>
      <c r="D11" s="15" t="str">
        <f>'Crew Dep.'!C13</f>
        <v>MAKAR, Maksym</v>
      </c>
      <c r="E11" s="153" t="str">
        <f>'Crew Dep.'!D13</f>
        <v>2nd Off</v>
      </c>
      <c r="F11" s="154"/>
      <c r="G11" s="154"/>
      <c r="H11" s="154"/>
      <c r="I11" s="155" t="s">
        <v>447</v>
      </c>
      <c r="J11" s="118"/>
    </row>
    <row r="12" spans="1:24" ht="19.5" customHeight="1">
      <c r="A12" s="772"/>
      <c r="C12" s="115">
        <v>4</v>
      </c>
      <c r="D12" s="36" t="str">
        <f>'Crew Dep.'!C14</f>
        <v>ZADOROZHNY, Sergiy</v>
      </c>
      <c r="E12" s="153" t="str">
        <f>'Crew Dep.'!D14</f>
        <v>Ch.Eng</v>
      </c>
      <c r="F12" s="154"/>
      <c r="G12" s="154"/>
      <c r="H12" s="154"/>
      <c r="I12" s="155" t="s">
        <v>447</v>
      </c>
      <c r="J12" s="118"/>
    </row>
    <row r="13" spans="1:24" ht="19.5" customHeight="1">
      <c r="A13" s="772"/>
      <c r="C13" s="115">
        <v>5</v>
      </c>
      <c r="D13" s="36" t="str">
        <f>'Crew Dep.'!C15</f>
        <v>HONCHAR, Yurii</v>
      </c>
      <c r="E13" s="153" t="str">
        <f>'Crew Dep.'!D15</f>
        <v>2nd Eng</v>
      </c>
      <c r="F13" s="154"/>
      <c r="G13" s="154"/>
      <c r="H13" s="154"/>
      <c r="I13" s="155" t="s">
        <v>447</v>
      </c>
      <c r="J13" s="118"/>
    </row>
    <row r="14" spans="1:24" ht="19.5" customHeight="1">
      <c r="A14" s="772"/>
      <c r="C14" s="115">
        <v>6</v>
      </c>
      <c r="D14" s="36" t="str">
        <f>'Crew Dep.'!C16</f>
        <v>CORCINO, Renand Aparece</v>
      </c>
      <c r="E14" s="153" t="str">
        <f>'Crew Dep.'!D16</f>
        <v>A/B</v>
      </c>
      <c r="F14" s="154"/>
      <c r="G14" s="154"/>
      <c r="H14" s="154"/>
      <c r="I14" s="155" t="s">
        <v>447</v>
      </c>
      <c r="J14" s="118"/>
    </row>
    <row r="15" spans="1:24" ht="19.5" customHeight="1">
      <c r="A15" s="772"/>
      <c r="C15" s="115">
        <v>7</v>
      </c>
      <c r="D15" s="36" t="str">
        <f>'Crew Dep.'!C17</f>
        <v>BANEZ, John Kenneth Rebundas</v>
      </c>
      <c r="E15" s="153" t="str">
        <f>'Crew Dep.'!D17</f>
        <v>O/S</v>
      </c>
      <c r="F15" s="154"/>
      <c r="G15" s="154"/>
      <c r="H15" s="154"/>
      <c r="I15" s="155" t="s">
        <v>447</v>
      </c>
      <c r="J15" s="118"/>
    </row>
    <row r="16" spans="1:24" ht="19.5" customHeight="1">
      <c r="A16" s="772"/>
      <c r="C16" s="115">
        <v>8</v>
      </c>
      <c r="D16" s="36" t="str">
        <f>'Crew Dep.'!C18</f>
        <v>PERNIA, James Malitao</v>
      </c>
      <c r="E16" s="153" t="str">
        <f>'Crew Dep.'!D18</f>
        <v>O/S</v>
      </c>
      <c r="F16" s="154"/>
      <c r="G16" s="154"/>
      <c r="H16" s="154"/>
      <c r="I16" s="155" t="s">
        <v>447</v>
      </c>
      <c r="J16" s="118"/>
    </row>
    <row r="17" spans="1:16" ht="19.5" customHeight="1">
      <c r="A17" s="772"/>
      <c r="C17" s="115">
        <v>9</v>
      </c>
      <c r="D17" s="36" t="str">
        <f>'Crew Dep.'!C19</f>
        <v>CANTOS, Philip Justin Perez</v>
      </c>
      <c r="E17" s="153" t="str">
        <f>'Crew Dep.'!D19</f>
        <v>O/S</v>
      </c>
      <c r="F17" s="154"/>
      <c r="G17" s="154"/>
      <c r="H17" s="154"/>
      <c r="I17" s="155" t="s">
        <v>447</v>
      </c>
      <c r="J17" s="118"/>
    </row>
    <row r="18" spans="1:16" ht="19.5" customHeight="1">
      <c r="A18" s="772"/>
      <c r="C18" s="115">
        <v>10</v>
      </c>
      <c r="D18" s="36" t="str">
        <f>'Crew Dep.'!C20</f>
        <v>ROMULO, Roland Bong Rosal</v>
      </c>
      <c r="E18" s="153" t="str">
        <f>'Crew Dep.'!D20</f>
        <v>O/S</v>
      </c>
      <c r="F18" s="154"/>
      <c r="G18" s="154"/>
      <c r="H18" s="154"/>
      <c r="I18" s="155" t="s">
        <v>447</v>
      </c>
      <c r="J18" s="118"/>
    </row>
    <row r="19" spans="1:16" ht="19.5" customHeight="1">
      <c r="A19" s="772"/>
      <c r="C19" s="115">
        <v>11</v>
      </c>
      <c r="D19" s="36" t="str">
        <f>'Crew Dep.'!C21</f>
        <v>MATALUBOS, Gerald Maniapao</v>
      </c>
      <c r="E19" s="153" t="str">
        <f>'Crew Dep.'!D21</f>
        <v>Wiper</v>
      </c>
      <c r="F19" s="154"/>
      <c r="G19" s="154"/>
      <c r="H19" s="154"/>
      <c r="I19" s="155" t="s">
        <v>447</v>
      </c>
      <c r="J19" s="118"/>
    </row>
    <row r="20" spans="1:16" ht="19.5" customHeight="1">
      <c r="A20" s="772"/>
      <c r="C20" s="115">
        <v>12</v>
      </c>
      <c r="D20" s="36" t="str">
        <f>'Crew Dep.'!C22</f>
        <v>BERNABE, Brian Malaluan</v>
      </c>
      <c r="E20" s="153" t="str">
        <f>'Crew Dep.'!D22</f>
        <v>Cook</v>
      </c>
      <c r="F20" s="154"/>
      <c r="G20" s="154"/>
      <c r="H20" s="154"/>
      <c r="I20" s="155" t="s">
        <v>447</v>
      </c>
      <c r="J20" s="118"/>
    </row>
    <row r="21" spans="1:16" ht="19.5" customHeight="1">
      <c r="A21" s="772"/>
      <c r="C21" s="115">
        <v>13</v>
      </c>
      <c r="D21" s="36" t="str">
        <f>'Crew Dep.'!C23</f>
        <v>SISON, Jan Randell Rollo</v>
      </c>
      <c r="E21" s="153" t="str">
        <f>'Crew Dep.'!D23</f>
        <v>Dcad</v>
      </c>
      <c r="F21" s="156"/>
      <c r="G21" s="156"/>
      <c r="H21" s="156"/>
      <c r="I21" s="155" t="s">
        <v>447</v>
      </c>
      <c r="J21" s="118"/>
      <c r="P21" s="157" t="s">
        <v>448</v>
      </c>
    </row>
    <row r="22" spans="1:16" ht="19.5" customHeight="1">
      <c r="A22" s="772"/>
      <c r="C22" s="115"/>
      <c r="D22" s="622"/>
      <c r="E22" s="623"/>
      <c r="F22" s="156"/>
      <c r="G22" s="156"/>
      <c r="H22" s="156"/>
      <c r="I22" s="155"/>
      <c r="J22" s="118"/>
    </row>
    <row r="23" spans="1:16" ht="19.5" customHeight="1">
      <c r="A23" s="772"/>
      <c r="C23" s="115"/>
      <c r="D23" s="25"/>
      <c r="E23" s="153"/>
      <c r="F23" s="118"/>
      <c r="G23" s="118"/>
      <c r="H23" s="118"/>
      <c r="I23" s="155"/>
      <c r="J23" s="118"/>
    </row>
    <row r="24" spans="1:16" ht="19.5" customHeight="1">
      <c r="A24" s="772"/>
      <c r="C24" s="118"/>
      <c r="D24" s="36"/>
      <c r="E24" s="158"/>
      <c r="F24" s="118"/>
      <c r="G24" s="118"/>
      <c r="H24" s="118"/>
      <c r="I24" s="118"/>
      <c r="J24" s="118"/>
    </row>
    <row r="25" spans="1:16" ht="19.5" customHeight="1">
      <c r="A25" s="772"/>
      <c r="C25" s="118"/>
      <c r="D25" s="36"/>
      <c r="E25" s="158"/>
      <c r="F25" s="118"/>
      <c r="G25" s="118"/>
      <c r="H25" s="118"/>
      <c r="I25" s="118"/>
      <c r="J25" s="118"/>
    </row>
    <row r="26" spans="1:16" ht="19.5" customHeight="1">
      <c r="A26" s="772"/>
      <c r="C26" s="118"/>
      <c r="D26" s="36"/>
      <c r="E26" s="158"/>
      <c r="F26" s="118"/>
      <c r="G26" s="118"/>
      <c r="H26" s="118"/>
      <c r="I26" s="118"/>
      <c r="J26" s="118"/>
    </row>
    <row r="27" spans="1:16" ht="19.5" customHeight="1">
      <c r="A27" s="772"/>
      <c r="C27" s="118"/>
      <c r="D27" s="36"/>
      <c r="E27" s="158"/>
      <c r="F27" s="118"/>
      <c r="G27" s="118"/>
      <c r="H27" s="118"/>
      <c r="I27" s="118"/>
      <c r="J27" s="118"/>
    </row>
    <row r="28" spans="1:16" ht="19.5" customHeight="1">
      <c r="C28" s="118"/>
      <c r="D28" s="36"/>
      <c r="E28" s="158"/>
      <c r="F28" s="118"/>
      <c r="G28" s="118"/>
      <c r="H28" s="118"/>
      <c r="I28" s="118"/>
      <c r="J28" s="118"/>
    </row>
    <row r="29" spans="1:16" ht="19.5" customHeight="1">
      <c r="C29" s="118"/>
      <c r="D29" s="36"/>
      <c r="E29" s="158"/>
      <c r="F29" s="118"/>
      <c r="G29" s="118"/>
      <c r="H29" s="118"/>
      <c r="I29" s="118"/>
      <c r="J29" s="118"/>
    </row>
    <row r="30" spans="1:16" ht="19.5" customHeight="1">
      <c r="C30" s="118"/>
      <c r="D30" s="36"/>
      <c r="E30" s="158"/>
      <c r="F30" s="118"/>
      <c r="G30" s="118"/>
      <c r="H30" s="118"/>
      <c r="I30" s="118"/>
      <c r="J30" s="118"/>
    </row>
    <row r="31" spans="1:16" ht="19.5" customHeight="1">
      <c r="C31" s="118"/>
      <c r="D31" s="36"/>
      <c r="E31" s="158"/>
      <c r="F31" s="118"/>
      <c r="G31" s="118"/>
      <c r="H31" s="118"/>
      <c r="I31" s="118"/>
      <c r="J31" s="118"/>
    </row>
    <row r="32" spans="1:16" ht="19.5" customHeight="1">
      <c r="C32" s="121"/>
      <c r="D32" s="121"/>
      <c r="E32" s="120"/>
      <c r="F32" s="121"/>
      <c r="G32" s="121"/>
      <c r="H32" s="121"/>
      <c r="I32" s="121"/>
      <c r="J32" s="121"/>
    </row>
    <row r="33" spans="1:4" ht="12" customHeight="1">
      <c r="C33" s="95" t="s">
        <v>449</v>
      </c>
    </row>
    <row r="34" spans="1:4">
      <c r="D34" s="124"/>
    </row>
    <row r="36" spans="1:4">
      <c r="C36" s="159"/>
      <c r="D36" s="159"/>
    </row>
    <row r="39" spans="1:4">
      <c r="A39" s="122"/>
    </row>
    <row r="40" spans="1:4">
      <c r="A40" s="122"/>
    </row>
    <row r="44" spans="1:4">
      <c r="A44" s="122"/>
    </row>
  </sheetData>
  <mergeCells count="11">
    <mergeCell ref="A9:A27"/>
    <mergeCell ref="C1:J1"/>
    <mergeCell ref="C4:E4"/>
    <mergeCell ref="F4:J5"/>
    <mergeCell ref="C5:E5"/>
    <mergeCell ref="C6:E6"/>
    <mergeCell ref="F6:F8"/>
    <mergeCell ref="G6:G8"/>
    <mergeCell ref="H6:H8"/>
    <mergeCell ref="I6:I8"/>
    <mergeCell ref="C7:E7"/>
  </mergeCells>
  <printOptions horizontalCentered="1"/>
  <pageMargins left="0.23622047244094491" right="0.19685039370078741" top="0.74803149606299213" bottom="0.74803149606299213" header="0.51181102362204722" footer="0.51181102362204722"/>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1859C"/>
  </sheetPr>
  <dimension ref="A1:AMJ54"/>
  <sheetViews>
    <sheetView showGridLines="0" view="pageBreakPreview" topLeftCell="A4" workbookViewId="0">
      <selection activeCell="E22" sqref="E22:I22"/>
    </sheetView>
  </sheetViews>
  <sheetFormatPr defaultColWidth="3" defaultRowHeight="12.75"/>
  <cols>
    <col min="1" max="1" width="5.7109375" style="94" customWidth="1"/>
    <col min="2" max="2" width="17.7109375" style="94" customWidth="1"/>
    <col min="3" max="3" width="11.85546875" style="94" customWidth="1"/>
    <col min="4" max="4" width="10.42578125" style="94" customWidth="1"/>
    <col min="5" max="5" width="2.5703125" style="94" customWidth="1"/>
    <col min="6" max="6" width="18.140625" style="94" customWidth="1"/>
    <col min="7" max="7" width="2.28515625" style="94" customWidth="1"/>
    <col min="8" max="8" width="10.28515625" style="94" customWidth="1"/>
    <col min="9" max="9" width="9.7109375" style="94" customWidth="1"/>
    <col min="10" max="1024" width="3" style="94"/>
  </cols>
  <sheetData>
    <row r="1" spans="1:10" ht="15.75">
      <c r="B1" s="783" t="s">
        <v>452</v>
      </c>
      <c r="C1" s="783"/>
      <c r="D1" s="783"/>
      <c r="E1" s="783"/>
      <c r="F1" s="783"/>
      <c r="G1" s="783"/>
      <c r="H1" s="783"/>
      <c r="I1" s="783"/>
    </row>
    <row r="2" spans="1:10" ht="3" customHeight="1"/>
    <row r="3" spans="1:10" s="95" customFormat="1" ht="9.75" customHeight="1">
      <c r="H3" s="96"/>
      <c r="I3" s="160" t="s">
        <v>411</v>
      </c>
    </row>
    <row r="4" spans="1:10" s="94" customFormat="1" ht="10.5" customHeight="1">
      <c r="E4" s="161" t="s">
        <v>453</v>
      </c>
      <c r="F4" s="99" t="s">
        <v>412</v>
      </c>
      <c r="G4" s="98"/>
      <c r="H4" s="99" t="s">
        <v>413</v>
      </c>
      <c r="I4" s="162">
        <v>1</v>
      </c>
    </row>
    <row r="5" spans="1:10" s="94" customFormat="1" ht="8.25">
      <c r="B5" s="800" t="s">
        <v>414</v>
      </c>
      <c r="C5" s="800"/>
      <c r="D5" s="800"/>
      <c r="E5" s="785" t="s">
        <v>454</v>
      </c>
      <c r="F5" s="785"/>
      <c r="G5" s="785" t="s">
        <v>455</v>
      </c>
      <c r="H5" s="785"/>
      <c r="I5" s="785"/>
    </row>
    <row r="6" spans="1:10" s="101" customFormat="1" ht="15" customHeight="1">
      <c r="B6" s="781" t="s">
        <v>2</v>
      </c>
      <c r="C6" s="781"/>
      <c r="D6" s="781"/>
      <c r="E6" s="828" t="str">
        <f>Input!D12</f>
        <v>Napoli</v>
      </c>
      <c r="F6" s="828"/>
      <c r="G6" s="829">
        <f>Input!D8</f>
        <v>46167</v>
      </c>
      <c r="H6" s="829"/>
      <c r="I6" s="829"/>
    </row>
    <row r="7" spans="1:10" s="94" customFormat="1" ht="8.25">
      <c r="B7" s="800" t="s">
        <v>417</v>
      </c>
      <c r="C7" s="800"/>
      <c r="D7" s="800"/>
      <c r="E7" s="800" t="s">
        <v>456</v>
      </c>
      <c r="F7" s="800"/>
      <c r="G7" s="800"/>
      <c r="H7" s="800"/>
      <c r="I7" s="800"/>
    </row>
    <row r="8" spans="1:10" s="101" customFormat="1" ht="14.25" customHeight="1">
      <c r="B8" s="805" t="str">
        <f>[1]Input!C3</f>
        <v>Cyprus</v>
      </c>
      <c r="C8" s="805"/>
      <c r="D8" s="805"/>
      <c r="E8" s="782" t="str">
        <f>Input!D14</f>
        <v>Alger</v>
      </c>
      <c r="F8" s="782"/>
      <c r="G8" s="164" t="s">
        <v>420</v>
      </c>
      <c r="H8" s="827" t="str">
        <f>Input!D16</f>
        <v>La Spezia</v>
      </c>
      <c r="I8" s="827"/>
      <c r="J8" s="165"/>
    </row>
    <row r="9" spans="1:10" s="94" customFormat="1" ht="8.25">
      <c r="B9" s="163" t="s">
        <v>457</v>
      </c>
      <c r="C9" s="800" t="s">
        <v>458</v>
      </c>
      <c r="D9" s="800"/>
      <c r="E9" s="800" t="s">
        <v>459</v>
      </c>
      <c r="F9" s="800"/>
      <c r="G9" s="800"/>
      <c r="H9" s="800"/>
      <c r="I9" s="800"/>
    </row>
    <row r="10" spans="1:10" s="101" customFormat="1" ht="15" customHeight="1">
      <c r="B10" s="166">
        <v>13</v>
      </c>
      <c r="C10" s="823">
        <v>1</v>
      </c>
      <c r="D10" s="823"/>
      <c r="E10" s="824" t="s">
        <v>460</v>
      </c>
      <c r="F10" s="824"/>
      <c r="G10" s="824"/>
      <c r="H10" s="824"/>
      <c r="I10" s="824"/>
    </row>
    <row r="11" spans="1:10" s="94" customFormat="1" ht="8.25">
      <c r="B11" s="103" t="s">
        <v>461</v>
      </c>
      <c r="C11" s="105"/>
      <c r="D11" s="103" t="s">
        <v>462</v>
      </c>
      <c r="E11" s="103" t="s">
        <v>463</v>
      </c>
      <c r="I11" s="105"/>
    </row>
    <row r="12" spans="1:10" s="101" customFormat="1" ht="12.75" customHeight="1">
      <c r="B12" s="167"/>
      <c r="C12" s="168"/>
      <c r="D12" s="165"/>
      <c r="E12" s="167"/>
      <c r="F12" s="169"/>
      <c r="G12" s="169"/>
      <c r="H12" s="169"/>
      <c r="I12" s="168"/>
    </row>
    <row r="13" spans="1:10" ht="19.5" customHeight="1">
      <c r="A13" s="772" t="s">
        <v>426</v>
      </c>
      <c r="B13" s="170"/>
      <c r="C13" s="171"/>
      <c r="D13" s="172"/>
      <c r="E13" s="825"/>
      <c r="F13" s="825"/>
      <c r="G13" s="825"/>
      <c r="H13" s="825"/>
      <c r="I13" s="825"/>
    </row>
    <row r="14" spans="1:10" ht="19.5" customHeight="1">
      <c r="A14" s="772"/>
      <c r="B14" s="173" t="s">
        <v>436</v>
      </c>
      <c r="C14" s="174" t="s">
        <v>464</v>
      </c>
      <c r="D14" s="373">
        <v>2200</v>
      </c>
      <c r="E14" s="793"/>
      <c r="F14" s="793"/>
      <c r="G14" s="793"/>
      <c r="H14" s="793"/>
      <c r="I14" s="793"/>
    </row>
    <row r="15" spans="1:10" ht="19.5" customHeight="1">
      <c r="A15" s="772"/>
      <c r="B15" s="175" t="s">
        <v>465</v>
      </c>
      <c r="C15" s="174" t="s">
        <v>464</v>
      </c>
      <c r="D15" s="176" t="s">
        <v>446</v>
      </c>
      <c r="E15" s="765"/>
      <c r="F15" s="765"/>
      <c r="G15" s="765"/>
      <c r="H15" s="765"/>
      <c r="I15" s="765"/>
    </row>
    <row r="16" spans="1:10" ht="19.5" customHeight="1">
      <c r="A16" s="772"/>
      <c r="B16" s="175" t="s">
        <v>466</v>
      </c>
      <c r="C16" s="174" t="s">
        <v>467</v>
      </c>
      <c r="D16" s="176" t="s">
        <v>446</v>
      </c>
      <c r="E16" s="765"/>
      <c r="F16" s="765"/>
      <c r="G16" s="765"/>
      <c r="H16" s="765"/>
      <c r="I16" s="765"/>
    </row>
    <row r="17" spans="1:9" ht="19.5" customHeight="1">
      <c r="A17" s="772"/>
      <c r="B17" s="175" t="s">
        <v>468</v>
      </c>
      <c r="C17" s="174" t="s">
        <v>469</v>
      </c>
      <c r="D17" s="176" t="s">
        <v>446</v>
      </c>
      <c r="E17" s="765"/>
      <c r="F17" s="765"/>
      <c r="G17" s="765"/>
      <c r="H17" s="765"/>
      <c r="I17" s="765"/>
    </row>
    <row r="18" spans="1:9" ht="19.5" customHeight="1">
      <c r="A18" s="772"/>
      <c r="B18" s="173"/>
      <c r="C18" s="174"/>
      <c r="D18" s="176"/>
      <c r="E18" s="793"/>
      <c r="F18" s="793"/>
      <c r="G18" s="793"/>
      <c r="H18" s="793"/>
      <c r="I18" s="793"/>
    </row>
    <row r="19" spans="1:9" ht="19.5" customHeight="1">
      <c r="A19" s="772"/>
      <c r="B19" s="175"/>
      <c r="C19" s="174"/>
      <c r="D19" s="176"/>
      <c r="E19" s="793"/>
      <c r="F19" s="793"/>
      <c r="G19" s="793"/>
      <c r="H19" s="793"/>
      <c r="I19" s="793"/>
    </row>
    <row r="20" spans="1:9" ht="19.5" customHeight="1">
      <c r="A20" s="772"/>
      <c r="B20" s="173"/>
      <c r="C20" s="174"/>
      <c r="D20" s="176"/>
      <c r="E20" s="793"/>
      <c r="F20" s="793"/>
      <c r="G20" s="793"/>
      <c r="H20" s="793"/>
      <c r="I20" s="793"/>
    </row>
    <row r="21" spans="1:9" ht="19.5" customHeight="1">
      <c r="A21" s="772"/>
      <c r="B21" s="175"/>
      <c r="C21" s="177"/>
      <c r="D21" s="178"/>
      <c r="E21" s="826"/>
      <c r="F21" s="826"/>
      <c r="G21" s="826"/>
      <c r="H21" s="826"/>
      <c r="I21" s="826"/>
    </row>
    <row r="22" spans="1:9" ht="19.5" customHeight="1">
      <c r="A22" s="772"/>
      <c r="B22" s="173" t="s">
        <v>470</v>
      </c>
      <c r="C22" s="174" t="s">
        <v>471</v>
      </c>
      <c r="D22" s="176" t="s">
        <v>446</v>
      </c>
      <c r="E22" s="826"/>
      <c r="F22" s="826"/>
      <c r="G22" s="826"/>
      <c r="H22" s="826"/>
      <c r="I22" s="826"/>
    </row>
    <row r="23" spans="1:9" ht="19.5" customHeight="1">
      <c r="A23" s="772"/>
      <c r="B23" s="173" t="s">
        <v>472</v>
      </c>
      <c r="C23" s="174" t="s">
        <v>471</v>
      </c>
      <c r="D23" s="176" t="s">
        <v>446</v>
      </c>
      <c r="E23" s="793"/>
      <c r="F23" s="793"/>
      <c r="G23" s="793"/>
      <c r="H23" s="793"/>
      <c r="I23" s="793"/>
    </row>
    <row r="24" spans="1:9" ht="19.5" customHeight="1">
      <c r="A24" s="772"/>
      <c r="B24" s="173" t="s">
        <v>473</v>
      </c>
      <c r="C24" s="174" t="s">
        <v>474</v>
      </c>
      <c r="D24" s="176" t="s">
        <v>446</v>
      </c>
      <c r="E24" s="793"/>
      <c r="F24" s="793"/>
      <c r="G24" s="793"/>
      <c r="H24" s="793"/>
      <c r="I24" s="793"/>
    </row>
    <row r="25" spans="1:9" ht="19.5" customHeight="1">
      <c r="A25" s="772"/>
      <c r="B25" s="173" t="s">
        <v>475</v>
      </c>
      <c r="C25" s="174" t="s">
        <v>476</v>
      </c>
      <c r="D25" s="176">
        <v>16</v>
      </c>
      <c r="E25" s="793"/>
      <c r="F25" s="793"/>
      <c r="G25" s="793"/>
      <c r="H25" s="793"/>
      <c r="I25" s="793"/>
    </row>
    <row r="26" spans="1:9" ht="19.5" customHeight="1">
      <c r="A26" s="772"/>
      <c r="B26" s="173"/>
      <c r="C26" s="174"/>
      <c r="D26" s="176"/>
      <c r="E26" s="793"/>
      <c r="F26" s="793"/>
      <c r="G26" s="793"/>
      <c r="H26" s="793"/>
      <c r="I26" s="793"/>
    </row>
    <row r="27" spans="1:9" ht="19.5" customHeight="1">
      <c r="A27" s="772"/>
      <c r="B27" s="175"/>
      <c r="C27" s="174"/>
      <c r="D27" s="176"/>
      <c r="E27" s="765"/>
      <c r="F27" s="765"/>
      <c r="G27" s="765"/>
      <c r="H27" s="765"/>
      <c r="I27" s="765"/>
    </row>
    <row r="28" spans="1:9" ht="19.5" customHeight="1">
      <c r="A28" s="772"/>
      <c r="B28" s="175" t="s">
        <v>477</v>
      </c>
      <c r="C28" s="174"/>
      <c r="D28" s="176" t="s">
        <v>446</v>
      </c>
      <c r="E28" s="765"/>
      <c r="F28" s="765"/>
      <c r="G28" s="765"/>
      <c r="H28" s="765"/>
      <c r="I28" s="765"/>
    </row>
    <row r="29" spans="1:9" ht="19.5" customHeight="1">
      <c r="A29" s="772"/>
      <c r="B29" s="175"/>
      <c r="C29" s="174"/>
      <c r="D29" s="617"/>
      <c r="E29" s="765"/>
      <c r="F29" s="765"/>
      <c r="G29" s="765"/>
      <c r="H29" s="765"/>
      <c r="I29" s="765"/>
    </row>
    <row r="30" spans="1:9" ht="19.5" customHeight="1">
      <c r="A30" s="772"/>
      <c r="B30" s="175"/>
      <c r="C30" s="174"/>
      <c r="D30" s="617"/>
      <c r="E30" s="765"/>
      <c r="F30" s="765"/>
      <c r="G30" s="765"/>
      <c r="H30" s="765"/>
      <c r="I30" s="765"/>
    </row>
    <row r="31" spans="1:9" ht="19.5" customHeight="1">
      <c r="A31" s="772"/>
      <c r="B31" s="173"/>
      <c r="C31" s="174"/>
      <c r="D31" s="617"/>
      <c r="E31" s="822"/>
      <c r="F31" s="822"/>
      <c r="G31" s="822"/>
      <c r="H31" s="822"/>
      <c r="I31" s="822"/>
    </row>
    <row r="32" spans="1:9" ht="19.5" customHeight="1">
      <c r="B32" s="173"/>
      <c r="C32" s="174"/>
      <c r="D32" s="176"/>
      <c r="E32" s="822"/>
      <c r="F32" s="822"/>
      <c r="G32" s="822"/>
      <c r="H32" s="822"/>
      <c r="I32" s="822"/>
    </row>
    <row r="33" spans="1:9" ht="19.5" customHeight="1">
      <c r="B33" s="175"/>
      <c r="C33" s="174"/>
      <c r="D33" s="176"/>
      <c r="E33" s="765"/>
      <c r="F33" s="765"/>
      <c r="G33" s="765"/>
      <c r="H33" s="765"/>
      <c r="I33" s="765"/>
    </row>
    <row r="34" spans="1:9" ht="19.5" customHeight="1">
      <c r="B34" s="175"/>
      <c r="C34" s="174"/>
      <c r="D34" s="176"/>
      <c r="E34" s="765"/>
      <c r="F34" s="765"/>
      <c r="G34" s="765"/>
      <c r="H34" s="765"/>
      <c r="I34" s="765"/>
    </row>
    <row r="35" spans="1:9" ht="19.5" customHeight="1">
      <c r="B35" s="179"/>
      <c r="C35" s="180"/>
      <c r="D35" s="181"/>
      <c r="E35" s="765"/>
      <c r="F35" s="765"/>
      <c r="G35" s="765"/>
      <c r="H35" s="765"/>
      <c r="I35" s="765"/>
    </row>
    <row r="36" spans="1:9" ht="19.5" customHeight="1">
      <c r="B36" s="179"/>
      <c r="C36" s="180"/>
      <c r="D36" s="182"/>
      <c r="E36" s="765"/>
      <c r="F36" s="765"/>
      <c r="G36" s="765"/>
      <c r="H36" s="765"/>
      <c r="I36" s="765"/>
    </row>
    <row r="37" spans="1:9" ht="19.5" customHeight="1">
      <c r="B37" s="179"/>
      <c r="C37" s="180"/>
      <c r="D37" s="182"/>
      <c r="E37" s="765"/>
      <c r="F37" s="765"/>
      <c r="G37" s="765"/>
      <c r="H37" s="765"/>
      <c r="I37" s="765"/>
    </row>
    <row r="38" spans="1:9" ht="19.5" customHeight="1">
      <c r="B38" s="179"/>
      <c r="C38" s="180"/>
      <c r="D38" s="182"/>
      <c r="E38" s="765"/>
      <c r="F38" s="765"/>
      <c r="G38" s="765"/>
      <c r="H38" s="765"/>
      <c r="I38" s="765"/>
    </row>
    <row r="39" spans="1:9" ht="9.75" customHeight="1">
      <c r="A39" s="122" t="s">
        <v>450</v>
      </c>
      <c r="B39" s="821"/>
      <c r="C39" s="821"/>
      <c r="D39" s="821"/>
      <c r="E39" s="767"/>
      <c r="F39" s="767"/>
      <c r="G39" s="767"/>
      <c r="H39" s="767"/>
      <c r="I39" s="767"/>
    </row>
    <row r="40" spans="1:9" ht="9" customHeight="1">
      <c r="A40" s="122" t="s">
        <v>478</v>
      </c>
      <c r="B40" s="821"/>
      <c r="C40" s="821"/>
      <c r="D40" s="821"/>
      <c r="E40" s="767"/>
      <c r="F40" s="767"/>
      <c r="G40" s="767"/>
      <c r="H40" s="767"/>
      <c r="I40" s="767"/>
    </row>
    <row r="41" spans="1:9" ht="12" customHeight="1">
      <c r="B41" s="183" t="s">
        <v>428</v>
      </c>
      <c r="C41" s="95"/>
    </row>
    <row r="43" spans="1:9">
      <c r="B43" s="184"/>
    </row>
    <row r="47" spans="1:9">
      <c r="E47" s="126" t="s">
        <v>432</v>
      </c>
    </row>
    <row r="51" spans="1:4">
      <c r="A51" s="122"/>
      <c r="D51" s="95"/>
    </row>
    <row r="54" spans="1:4" ht="14.25" customHeight="1"/>
  </sheetData>
  <mergeCells count="46">
    <mergeCell ref="B1:I1"/>
    <mergeCell ref="B5:D5"/>
    <mergeCell ref="E5:F5"/>
    <mergeCell ref="G5:I5"/>
    <mergeCell ref="B6:D6"/>
    <mergeCell ref="E6:F6"/>
    <mergeCell ref="G6:I6"/>
    <mergeCell ref="B7:D7"/>
    <mergeCell ref="E7:I7"/>
    <mergeCell ref="B8:D8"/>
    <mergeCell ref="E8:F8"/>
    <mergeCell ref="H8:I8"/>
    <mergeCell ref="C9:D9"/>
    <mergeCell ref="E9:I9"/>
    <mergeCell ref="C10:D10"/>
    <mergeCell ref="E10:I10"/>
    <mergeCell ref="A13:A31"/>
    <mergeCell ref="E13:I13"/>
    <mergeCell ref="E14:I14"/>
    <mergeCell ref="E15:I15"/>
    <mergeCell ref="E16:I16"/>
    <mergeCell ref="E17:I17"/>
    <mergeCell ref="E18:I18"/>
    <mergeCell ref="E19:I19"/>
    <mergeCell ref="E20:I20"/>
    <mergeCell ref="E21:I21"/>
    <mergeCell ref="E22:I22"/>
    <mergeCell ref="E23:I23"/>
    <mergeCell ref="E24:I24"/>
    <mergeCell ref="E25:I25"/>
    <mergeCell ref="E26:I26"/>
    <mergeCell ref="E27:I27"/>
    <mergeCell ref="E28:I28"/>
    <mergeCell ref="E29:I29"/>
    <mergeCell ref="E30:I30"/>
    <mergeCell ref="E31:I31"/>
    <mergeCell ref="E32:I32"/>
    <mergeCell ref="E33:I33"/>
    <mergeCell ref="B39:C40"/>
    <mergeCell ref="D39:D40"/>
    <mergeCell ref="E39:I40"/>
    <mergeCell ref="E34:I34"/>
    <mergeCell ref="E35:I35"/>
    <mergeCell ref="E36:I36"/>
    <mergeCell ref="E37:I37"/>
    <mergeCell ref="E38:I38"/>
  </mergeCells>
  <printOptions horizontalCentered="1"/>
  <pageMargins left="0.78749999999999998" right="0.39374999999999999" top="0.59027777777777801" bottom="0.23611111111111099" header="0.511811023622047" footer="0.511811023622047"/>
  <pageSetup paperSize="9" scale="96"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pageSetUpPr fitToPage="1"/>
  </sheetPr>
  <dimension ref="A1:AMJ48"/>
  <sheetViews>
    <sheetView showGridLines="0" view="pageBreakPreview" workbookViewId="0">
      <selection activeCell="Z15" sqref="Z15"/>
    </sheetView>
  </sheetViews>
  <sheetFormatPr defaultColWidth="3" defaultRowHeight="12.75"/>
  <cols>
    <col min="1" max="1" width="6.5703125" style="94" customWidth="1"/>
    <col min="2" max="2" width="5.5703125" style="94" customWidth="1"/>
    <col min="3" max="3" width="25.7109375" style="94" customWidth="1"/>
    <col min="4" max="4" width="11.7109375" style="94" customWidth="1"/>
    <col min="5" max="5" width="2.28515625" style="94" customWidth="1"/>
    <col min="6" max="6" width="8.140625" style="94" customWidth="1"/>
    <col min="7" max="7" width="10.140625" style="94" customWidth="1"/>
    <col min="8" max="8" width="2.140625" style="94" customWidth="1"/>
    <col min="9" max="9" width="12.7109375" style="94" customWidth="1"/>
    <col min="10" max="10" width="13" style="94" customWidth="1"/>
    <col min="11" max="1024" width="3" style="94"/>
  </cols>
  <sheetData>
    <row r="1" spans="1:16" ht="15.75">
      <c r="B1" s="783" t="s">
        <v>479</v>
      </c>
      <c r="C1" s="783"/>
      <c r="D1" s="783"/>
      <c r="E1" s="783"/>
      <c r="F1" s="783"/>
      <c r="G1" s="783"/>
      <c r="H1" s="783"/>
      <c r="I1" s="783"/>
      <c r="J1" s="783"/>
    </row>
    <row r="3" spans="1:16" s="95" customFormat="1" ht="9.75" customHeight="1">
      <c r="I3" s="96"/>
      <c r="J3" s="97" t="s">
        <v>411</v>
      </c>
    </row>
    <row r="4" spans="1:16" s="94" customFormat="1" ht="10.5" customHeight="1">
      <c r="E4" s="98" t="s">
        <v>398</v>
      </c>
      <c r="F4" s="99" t="s">
        <v>412</v>
      </c>
      <c r="H4" s="98"/>
      <c r="I4" s="99" t="s">
        <v>413</v>
      </c>
      <c r="J4" s="100">
        <v>1</v>
      </c>
    </row>
    <row r="5" spans="1:16" s="94" customFormat="1" ht="8.25" customHeight="1">
      <c r="B5" s="800" t="s">
        <v>414</v>
      </c>
      <c r="C5" s="800"/>
      <c r="D5" s="800"/>
      <c r="E5" s="785" t="s">
        <v>480</v>
      </c>
      <c r="F5" s="785"/>
      <c r="G5" s="785"/>
      <c r="H5" s="785" t="s">
        <v>416</v>
      </c>
      <c r="I5" s="785"/>
      <c r="J5" s="785"/>
    </row>
    <row r="6" spans="1:16" s="101" customFormat="1" ht="15" customHeight="1">
      <c r="B6" s="781" t="str">
        <f>Input!D2</f>
        <v>HANNA</v>
      </c>
      <c r="C6" s="781"/>
      <c r="D6" s="781"/>
      <c r="E6" s="838" t="str">
        <f>Input!D12</f>
        <v>Napoli</v>
      </c>
      <c r="F6" s="838"/>
      <c r="G6" s="838"/>
      <c r="H6" s="787">
        <f>Input!D8</f>
        <v>46167</v>
      </c>
      <c r="I6" s="787"/>
      <c r="J6" s="787"/>
    </row>
    <row r="7" spans="1:16" s="94" customFormat="1" ht="12.75" customHeight="1">
      <c r="B7" s="800" t="s">
        <v>417</v>
      </c>
      <c r="C7" s="800"/>
      <c r="D7" s="800"/>
      <c r="E7" s="816" t="s">
        <v>418</v>
      </c>
      <c r="F7" s="816"/>
      <c r="G7" s="816"/>
      <c r="H7" s="816"/>
      <c r="I7" s="816"/>
      <c r="J7" s="780" t="s">
        <v>625</v>
      </c>
    </row>
    <row r="8" spans="1:16" s="94" customFormat="1" ht="15" customHeight="1">
      <c r="B8" s="805" t="str">
        <f>Input!D4</f>
        <v>Cyprus</v>
      </c>
      <c r="C8" s="805"/>
      <c r="D8" s="805"/>
      <c r="E8" s="782" t="str">
        <f>Input!D14</f>
        <v>Alger</v>
      </c>
      <c r="F8" s="782"/>
      <c r="G8" s="782"/>
      <c r="H8" s="102" t="s">
        <v>420</v>
      </c>
      <c r="I8" s="385" t="str">
        <f>Input!D16</f>
        <v>La Spezia</v>
      </c>
      <c r="J8" s="780"/>
      <c r="K8" s="103"/>
    </row>
    <row r="9" spans="1:16" s="94" customFormat="1" ht="12" customHeight="1">
      <c r="B9" s="127" t="s">
        <v>431</v>
      </c>
      <c r="C9" s="104" t="s">
        <v>422</v>
      </c>
      <c r="D9" s="104" t="s">
        <v>423</v>
      </c>
      <c r="E9" s="800" t="s">
        <v>424</v>
      </c>
      <c r="F9" s="800"/>
      <c r="G9" s="800" t="s">
        <v>425</v>
      </c>
      <c r="H9" s="800"/>
      <c r="I9" s="800"/>
      <c r="J9" s="435" t="s">
        <v>721</v>
      </c>
    </row>
    <row r="10" spans="1:16" s="94" customFormat="1" ht="10.5" customHeight="1">
      <c r="B10" s="107"/>
      <c r="C10" s="106"/>
      <c r="D10" s="106"/>
      <c r="E10" s="777"/>
      <c r="F10" s="777"/>
      <c r="G10" s="107"/>
      <c r="H10" s="778"/>
      <c r="I10" s="778"/>
      <c r="J10" s="13" t="s">
        <v>21</v>
      </c>
    </row>
    <row r="11" spans="1:16" ht="24.95" customHeight="1">
      <c r="A11" s="772" t="s">
        <v>426</v>
      </c>
      <c r="B11" s="112"/>
      <c r="C11" s="513" t="s">
        <v>913</v>
      </c>
      <c r="D11" s="476"/>
      <c r="E11" s="832"/>
      <c r="F11" s="833"/>
      <c r="G11" s="452"/>
      <c r="H11" s="478"/>
      <c r="I11" s="477"/>
      <c r="J11" s="114"/>
    </row>
    <row r="12" spans="1:16" ht="24.95" customHeight="1">
      <c r="A12" s="772"/>
      <c r="B12" s="112"/>
      <c r="C12" s="479"/>
      <c r="D12" s="476"/>
      <c r="E12" s="832"/>
      <c r="F12" s="833"/>
      <c r="G12" s="439"/>
      <c r="H12" s="437"/>
      <c r="I12" s="441"/>
      <c r="J12" s="114"/>
    </row>
    <row r="13" spans="1:16" ht="24.95" customHeight="1">
      <c r="A13" s="772"/>
      <c r="B13" s="112"/>
      <c r="C13" s="433"/>
      <c r="D13" s="23"/>
      <c r="E13" s="834"/>
      <c r="F13" s="835"/>
      <c r="G13" s="439"/>
      <c r="H13" s="437"/>
      <c r="I13" s="437"/>
      <c r="J13" s="114"/>
      <c r="P13" s="94" t="s">
        <v>0</v>
      </c>
    </row>
    <row r="14" spans="1:16" ht="24.95" customHeight="1">
      <c r="A14" s="772"/>
      <c r="B14" s="112"/>
      <c r="C14" s="389"/>
      <c r="D14" s="23"/>
      <c r="E14" s="834"/>
      <c r="F14" s="835"/>
      <c r="G14" s="439"/>
      <c r="H14" s="437"/>
      <c r="I14" s="437"/>
      <c r="J14" s="424"/>
      <c r="K14" s="27"/>
    </row>
    <row r="15" spans="1:16" ht="24.95" customHeight="1">
      <c r="A15" s="772"/>
      <c r="B15" s="112"/>
      <c r="C15" s="430"/>
      <c r="D15" s="23"/>
      <c r="E15" s="836"/>
      <c r="F15" s="837"/>
      <c r="G15" s="439"/>
      <c r="H15" s="437"/>
      <c r="I15" s="436"/>
      <c r="J15" s="114"/>
      <c r="K15" s="27"/>
    </row>
    <row r="16" spans="1:16" ht="24.95" customHeight="1">
      <c r="A16" s="772"/>
      <c r="B16" s="112"/>
      <c r="C16" s="438"/>
      <c r="D16" s="23"/>
      <c r="E16" s="836"/>
      <c r="F16" s="837"/>
      <c r="G16" s="439"/>
      <c r="H16" s="437"/>
      <c r="I16" s="437"/>
      <c r="J16" s="114"/>
    </row>
    <row r="17" spans="1:11" ht="24.75" customHeight="1">
      <c r="A17" s="772"/>
      <c r="B17" s="112"/>
      <c r="C17" s="442"/>
      <c r="D17" s="23"/>
      <c r="E17" s="836"/>
      <c r="F17" s="837"/>
      <c r="G17" s="443"/>
      <c r="H17" s="437"/>
      <c r="I17" s="436"/>
      <c r="J17" s="114"/>
    </row>
    <row r="18" spans="1:11" ht="19.5" customHeight="1">
      <c r="A18" s="772"/>
      <c r="B18" s="115"/>
      <c r="C18" s="25"/>
      <c r="D18" s="16"/>
      <c r="E18" s="830"/>
      <c r="F18" s="831"/>
      <c r="G18" s="20"/>
      <c r="H18" s="788"/>
      <c r="I18" s="790"/>
      <c r="J18" s="18"/>
    </row>
    <row r="19" spans="1:11" ht="19.5" customHeight="1">
      <c r="A19" s="772"/>
      <c r="B19" s="115"/>
      <c r="C19" s="25"/>
      <c r="D19" s="16"/>
      <c r="E19" s="830"/>
      <c r="F19" s="831"/>
      <c r="G19" s="20"/>
      <c r="H19" s="788"/>
      <c r="I19" s="790"/>
      <c r="J19" s="18"/>
    </row>
    <row r="20" spans="1:11" ht="19.5" customHeight="1">
      <c r="A20" s="772"/>
      <c r="B20" s="115"/>
      <c r="C20" s="25"/>
      <c r="D20" s="16"/>
      <c r="E20" s="830"/>
      <c r="F20" s="831"/>
      <c r="G20" s="20"/>
      <c r="H20" s="788"/>
      <c r="I20" s="790"/>
      <c r="J20" s="18"/>
    </row>
    <row r="21" spans="1:11" ht="19.5" customHeight="1">
      <c r="A21" s="772"/>
      <c r="B21" s="115"/>
      <c r="C21" s="25"/>
      <c r="D21" s="16"/>
      <c r="E21" s="830"/>
      <c r="F21" s="831"/>
      <c r="G21" s="20"/>
      <c r="H21" s="788"/>
      <c r="I21" s="790"/>
      <c r="J21" s="18"/>
      <c r="K21" s="103"/>
    </row>
    <row r="22" spans="1:11" ht="19.5" customHeight="1">
      <c r="A22" s="772"/>
      <c r="B22" s="115"/>
      <c r="C22" s="25"/>
      <c r="D22" s="16"/>
      <c r="E22" s="830"/>
      <c r="F22" s="831"/>
      <c r="G22" s="20"/>
      <c r="H22" s="788"/>
      <c r="I22" s="790"/>
      <c r="J22" s="18"/>
    </row>
    <row r="23" spans="1:11" ht="19.5" customHeight="1">
      <c r="A23" s="772"/>
      <c r="B23" s="115"/>
      <c r="C23" s="25"/>
      <c r="D23" s="16"/>
      <c r="E23" s="830"/>
      <c r="F23" s="831"/>
      <c r="G23" s="20"/>
      <c r="H23" s="788"/>
      <c r="I23" s="790"/>
      <c r="J23" s="18"/>
    </row>
    <row r="24" spans="1:11" ht="19.5" customHeight="1">
      <c r="A24" s="772"/>
      <c r="B24" s="115"/>
      <c r="C24" s="25"/>
      <c r="D24" s="16"/>
      <c r="E24" s="765"/>
      <c r="F24" s="765"/>
      <c r="G24" s="20"/>
      <c r="H24" s="790"/>
      <c r="I24" s="790"/>
      <c r="J24" s="18"/>
      <c r="K24" s="103"/>
    </row>
    <row r="25" spans="1:11" ht="19.5" customHeight="1">
      <c r="A25" s="772"/>
      <c r="B25" s="115"/>
      <c r="C25" s="25"/>
      <c r="D25" s="16"/>
      <c r="E25" s="793"/>
      <c r="F25" s="793"/>
      <c r="G25" s="20"/>
      <c r="H25" s="794"/>
      <c r="I25" s="794"/>
      <c r="J25" s="18"/>
    </row>
    <row r="26" spans="1:11" ht="19.5" customHeight="1">
      <c r="A26" s="772"/>
      <c r="B26" s="115"/>
      <c r="C26" s="116"/>
      <c r="D26" s="115"/>
      <c r="E26" s="765"/>
      <c r="F26" s="765"/>
      <c r="G26" s="132"/>
      <c r="H26" s="788"/>
      <c r="I26" s="788"/>
      <c r="J26" s="133"/>
    </row>
    <row r="27" spans="1:11" ht="19.5" customHeight="1">
      <c r="A27" s="772"/>
      <c r="B27" s="115"/>
      <c r="C27" s="116"/>
      <c r="D27" s="115"/>
      <c r="E27" s="765"/>
      <c r="F27" s="765"/>
      <c r="G27" s="134"/>
      <c r="H27" s="788"/>
      <c r="I27" s="788"/>
      <c r="J27" s="17"/>
    </row>
    <row r="28" spans="1:11" ht="19.5" customHeight="1">
      <c r="A28" s="772"/>
      <c r="B28" s="115"/>
      <c r="C28" s="116"/>
      <c r="D28" s="115"/>
      <c r="E28" s="765"/>
      <c r="F28" s="765"/>
      <c r="G28" s="134"/>
      <c r="H28" s="788"/>
      <c r="I28" s="788"/>
      <c r="J28" s="17"/>
    </row>
    <row r="29" spans="1:11" ht="19.5" customHeight="1">
      <c r="A29" s="772"/>
      <c r="B29" s="115"/>
      <c r="C29" s="116"/>
      <c r="D29" s="115"/>
      <c r="E29" s="765"/>
      <c r="F29" s="765"/>
      <c r="G29" s="134"/>
      <c r="H29" s="788"/>
      <c r="I29" s="788"/>
      <c r="J29" s="17"/>
    </row>
    <row r="30" spans="1:11" ht="19.5" customHeight="1">
      <c r="B30" s="115"/>
      <c r="C30" s="116"/>
      <c r="D30" s="115"/>
      <c r="E30" s="765"/>
      <c r="F30" s="765"/>
      <c r="G30" s="134"/>
      <c r="H30" s="788"/>
      <c r="I30" s="788"/>
      <c r="J30" s="17"/>
    </row>
    <row r="31" spans="1:11" ht="19.5" customHeight="1">
      <c r="B31" s="115"/>
      <c r="C31" s="118"/>
      <c r="D31" s="118"/>
      <c r="E31" s="765"/>
      <c r="F31" s="765"/>
      <c r="G31" s="135"/>
      <c r="H31" s="790"/>
      <c r="I31" s="790"/>
      <c r="J31" s="118"/>
    </row>
    <row r="32" spans="1:11" ht="19.5" customHeight="1">
      <c r="B32" s="115"/>
      <c r="C32" s="118"/>
      <c r="D32" s="118"/>
      <c r="E32" s="765"/>
      <c r="F32" s="765"/>
      <c r="G32" s="135"/>
      <c r="H32" s="791"/>
      <c r="I32" s="791"/>
      <c r="J32" s="118"/>
    </row>
    <row r="33" spans="1:10" ht="19.5" customHeight="1">
      <c r="B33" s="115"/>
      <c r="C33" s="118"/>
      <c r="D33" s="118"/>
      <c r="E33" s="765"/>
      <c r="F33" s="765"/>
      <c r="G33" s="135"/>
      <c r="H33" s="788"/>
      <c r="I33" s="788"/>
      <c r="J33" s="118"/>
    </row>
    <row r="34" spans="1:10" ht="18.75" customHeight="1">
      <c r="A34" s="119"/>
      <c r="B34" s="120"/>
      <c r="C34" s="121"/>
      <c r="D34" s="121"/>
      <c r="E34" s="767"/>
      <c r="F34" s="767"/>
      <c r="G34" s="136"/>
      <c r="H34" s="789"/>
      <c r="I34" s="789"/>
      <c r="J34" s="121"/>
    </row>
    <row r="35" spans="1:10" ht="12.75" customHeight="1">
      <c r="A35" s="122"/>
      <c r="B35" s="123" t="s">
        <v>428</v>
      </c>
      <c r="C35" s="95"/>
    </row>
    <row r="36" spans="1:10" ht="12" customHeight="1">
      <c r="C36" s="124"/>
      <c r="D36" s="1"/>
      <c r="F36" s="29"/>
      <c r="G36" s="29"/>
    </row>
    <row r="37" spans="1:10">
      <c r="D37" s="95"/>
    </row>
    <row r="40" spans="1:10">
      <c r="I40" s="125"/>
    </row>
    <row r="44" spans="1:10">
      <c r="E44" s="126" t="s">
        <v>432</v>
      </c>
    </row>
    <row r="47" spans="1:10">
      <c r="D47" s="95"/>
    </row>
    <row r="48" spans="1:10">
      <c r="A48" s="122"/>
    </row>
  </sheetData>
  <mergeCells count="58">
    <mergeCell ref="B1:J1"/>
    <mergeCell ref="B5:D5"/>
    <mergeCell ref="E5:G5"/>
    <mergeCell ref="H5:J5"/>
    <mergeCell ref="B6:D6"/>
    <mergeCell ref="E6:G6"/>
    <mergeCell ref="H6:J6"/>
    <mergeCell ref="B7:D7"/>
    <mergeCell ref="E7:I7"/>
    <mergeCell ref="J7:J8"/>
    <mergeCell ref="B8:D8"/>
    <mergeCell ref="E8:G8"/>
    <mergeCell ref="E9:F9"/>
    <mergeCell ref="G9:I9"/>
    <mergeCell ref="E10:F10"/>
    <mergeCell ref="H10:I10"/>
    <mergeCell ref="A11:A29"/>
    <mergeCell ref="E11:F11"/>
    <mergeCell ref="E12:F12"/>
    <mergeCell ref="E13:F13"/>
    <mergeCell ref="E14:F14"/>
    <mergeCell ref="E15:F15"/>
    <mergeCell ref="E16:F16"/>
    <mergeCell ref="E17:F17"/>
    <mergeCell ref="E18:F18"/>
    <mergeCell ref="H18:I18"/>
    <mergeCell ref="E19:F19"/>
    <mergeCell ref="H19:I19"/>
    <mergeCell ref="E20:F20"/>
    <mergeCell ref="H20:I20"/>
    <mergeCell ref="E21:F21"/>
    <mergeCell ref="H21:I21"/>
    <mergeCell ref="E22:F22"/>
    <mergeCell ref="H22:I22"/>
    <mergeCell ref="E23:F23"/>
    <mergeCell ref="H23:I23"/>
    <mergeCell ref="E24:F24"/>
    <mergeCell ref="H24:I24"/>
    <mergeCell ref="E25:F25"/>
    <mergeCell ref="H25:I25"/>
    <mergeCell ref="E26:F26"/>
    <mergeCell ref="H26:I26"/>
    <mergeCell ref="E27:F27"/>
    <mergeCell ref="H27:I27"/>
    <mergeCell ref="E28:F28"/>
    <mergeCell ref="H28:I28"/>
    <mergeCell ref="E29:F29"/>
    <mergeCell ref="H29:I29"/>
    <mergeCell ref="E30:F30"/>
    <mergeCell ref="H30:I30"/>
    <mergeCell ref="E34:F34"/>
    <mergeCell ref="H34:I34"/>
    <mergeCell ref="E31:F31"/>
    <mergeCell ref="H31:I31"/>
    <mergeCell ref="E32:F32"/>
    <mergeCell ref="H32:I32"/>
    <mergeCell ref="E33:F33"/>
    <mergeCell ref="H33:I33"/>
  </mergeCells>
  <printOptions horizontalCentered="1"/>
  <pageMargins left="0.59027777777777801" right="0.39374999999999999" top="0.78749999999999998" bottom="0.4" header="0.511811023622047" footer="0.511811023622047"/>
  <pageSetup paperSize="9" scale="96"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pageSetUpPr fitToPage="1"/>
  </sheetPr>
  <dimension ref="A1:AMJ48"/>
  <sheetViews>
    <sheetView showGridLines="0" view="pageBreakPreview" zoomScaleSheetLayoutView="100" workbookViewId="0">
      <selection activeCell="H6" sqref="H6:J6"/>
    </sheetView>
  </sheetViews>
  <sheetFormatPr defaultColWidth="3" defaultRowHeight="12.75"/>
  <cols>
    <col min="1" max="1" width="6.5703125" style="94" customWidth="1"/>
    <col min="2" max="2" width="4" style="94" customWidth="1"/>
    <col min="3" max="3" width="25.7109375" style="94" customWidth="1"/>
    <col min="4" max="4" width="11.7109375" style="94" customWidth="1"/>
    <col min="5" max="5" width="2.28515625" style="94" customWidth="1"/>
    <col min="6" max="6" width="8.140625" style="94" customWidth="1"/>
    <col min="7" max="7" width="10.85546875" style="94" customWidth="1"/>
    <col min="8" max="8" width="2.140625" style="94" customWidth="1"/>
    <col min="9" max="9" width="12.7109375" style="94" customWidth="1"/>
    <col min="10" max="10" width="13" style="94" customWidth="1"/>
    <col min="11" max="1024" width="3" style="94"/>
  </cols>
  <sheetData>
    <row r="1" spans="1:16" ht="15.75">
      <c r="B1" s="783" t="s">
        <v>479</v>
      </c>
      <c r="C1" s="783"/>
      <c r="D1" s="783"/>
      <c r="E1" s="783"/>
      <c r="F1" s="783"/>
      <c r="G1" s="783"/>
      <c r="H1" s="783"/>
      <c r="I1" s="783"/>
      <c r="J1" s="783"/>
    </row>
    <row r="3" spans="1:16" s="95" customFormat="1" ht="9.75" customHeight="1">
      <c r="I3" s="96"/>
      <c r="J3" s="97" t="s">
        <v>411</v>
      </c>
    </row>
    <row r="4" spans="1:16" s="94" customFormat="1" ht="10.5" customHeight="1">
      <c r="E4" s="98"/>
      <c r="F4" s="99" t="s">
        <v>412</v>
      </c>
      <c r="H4" s="98" t="s">
        <v>398</v>
      </c>
      <c r="I4" s="99" t="s">
        <v>413</v>
      </c>
      <c r="J4" s="100">
        <v>1</v>
      </c>
    </row>
    <row r="5" spans="1:16" s="94" customFormat="1" ht="8.25" customHeight="1">
      <c r="B5" s="800" t="s">
        <v>414</v>
      </c>
      <c r="C5" s="800"/>
      <c r="D5" s="800"/>
      <c r="E5" s="785" t="s">
        <v>481</v>
      </c>
      <c r="F5" s="785"/>
      <c r="G5" s="785"/>
      <c r="H5" s="785" t="s">
        <v>482</v>
      </c>
      <c r="I5" s="785"/>
      <c r="J5" s="785"/>
    </row>
    <row r="6" spans="1:16" s="101" customFormat="1" ht="15" customHeight="1">
      <c r="B6" s="781" t="str">
        <f>Input!D2</f>
        <v>HANNA</v>
      </c>
      <c r="C6" s="781"/>
      <c r="D6" s="781"/>
      <c r="E6" s="843" t="str">
        <f>Input!D12</f>
        <v>Napoli</v>
      </c>
      <c r="F6" s="844"/>
      <c r="G6" s="844"/>
      <c r="H6" s="845">
        <f>Input!D10</f>
        <v>46168</v>
      </c>
      <c r="I6" s="845"/>
      <c r="J6" s="845"/>
    </row>
    <row r="7" spans="1:16" s="94" customFormat="1" ht="12.75" customHeight="1">
      <c r="B7" s="800" t="s">
        <v>417</v>
      </c>
      <c r="C7" s="800"/>
      <c r="D7" s="800"/>
      <c r="E7" s="800" t="s">
        <v>430</v>
      </c>
      <c r="F7" s="800"/>
      <c r="G7" s="800"/>
      <c r="H7" s="800"/>
      <c r="I7" s="800"/>
      <c r="J7" s="780" t="s">
        <v>419</v>
      </c>
    </row>
    <row r="8" spans="1:16" s="94" customFormat="1" ht="15" customHeight="1">
      <c r="B8" s="805" t="str">
        <f>Input!D4</f>
        <v>Cyprus</v>
      </c>
      <c r="C8" s="805"/>
      <c r="D8" s="805"/>
      <c r="E8" s="842" t="str">
        <f>Input!D16</f>
        <v>La Spezia</v>
      </c>
      <c r="F8" s="842"/>
      <c r="G8" s="842"/>
      <c r="H8" s="842"/>
      <c r="I8" s="842"/>
      <c r="J8" s="780"/>
      <c r="K8" s="103"/>
    </row>
    <row r="9" spans="1:16" s="94" customFormat="1" ht="12" customHeight="1">
      <c r="B9" s="127" t="s">
        <v>431</v>
      </c>
      <c r="C9" s="104" t="s">
        <v>422</v>
      </c>
      <c r="D9" s="104" t="s">
        <v>423</v>
      </c>
      <c r="E9" s="800" t="s">
        <v>424</v>
      </c>
      <c r="F9" s="800"/>
      <c r="G9" s="800" t="s">
        <v>425</v>
      </c>
      <c r="H9" s="800"/>
      <c r="I9" s="800"/>
      <c r="J9" s="434" t="s">
        <v>721</v>
      </c>
    </row>
    <row r="10" spans="1:16" s="94" customFormat="1" ht="9.75" customHeight="1">
      <c r="B10" s="107"/>
      <c r="C10" s="106"/>
      <c r="D10" s="106"/>
      <c r="E10" s="777"/>
      <c r="F10" s="777"/>
      <c r="G10" s="107"/>
      <c r="H10" s="778"/>
      <c r="I10" s="778"/>
      <c r="J10" s="13" t="s">
        <v>21</v>
      </c>
    </row>
    <row r="11" spans="1:16" ht="4.5" hidden="1" customHeight="1">
      <c r="A11" s="772" t="s">
        <v>426</v>
      </c>
      <c r="B11" s="187"/>
      <c r="C11" s="185"/>
      <c r="D11" s="14"/>
      <c r="E11" s="839"/>
      <c r="F11" s="839"/>
      <c r="G11" s="188"/>
      <c r="H11" s="791"/>
      <c r="I11" s="791"/>
      <c r="J11" s="186"/>
    </row>
    <row r="12" spans="1:16" ht="24.95" customHeight="1">
      <c r="A12" s="772"/>
      <c r="B12" s="112">
        <v>1</v>
      </c>
      <c r="C12" s="488" t="s">
        <v>992</v>
      </c>
      <c r="D12" s="476" t="s">
        <v>993</v>
      </c>
      <c r="E12" s="832" t="s">
        <v>998</v>
      </c>
      <c r="F12" s="833"/>
      <c r="G12" s="452">
        <v>27965</v>
      </c>
      <c r="H12" s="478"/>
      <c r="I12" s="616" t="s">
        <v>996</v>
      </c>
      <c r="J12" s="114" t="s">
        <v>994</v>
      </c>
    </row>
    <row r="13" spans="1:16" ht="24.95" customHeight="1">
      <c r="A13" s="772"/>
      <c r="B13" s="112">
        <v>2</v>
      </c>
      <c r="C13" s="479" t="s">
        <v>995</v>
      </c>
      <c r="D13" s="476" t="s">
        <v>993</v>
      </c>
      <c r="E13" s="832" t="s">
        <v>998</v>
      </c>
      <c r="F13" s="833"/>
      <c r="G13" s="439">
        <v>36878</v>
      </c>
      <c r="H13" s="437"/>
      <c r="I13" s="441" t="s">
        <v>997</v>
      </c>
      <c r="J13" s="114" t="s">
        <v>999</v>
      </c>
      <c r="P13" s="94" t="s">
        <v>0</v>
      </c>
    </row>
    <row r="14" spans="1:16" ht="24.95" customHeight="1">
      <c r="A14" s="772"/>
      <c r="B14" s="112"/>
      <c r="C14" s="433"/>
      <c r="D14" s="23"/>
      <c r="E14" s="834"/>
      <c r="F14" s="835"/>
      <c r="G14" s="439"/>
      <c r="H14" s="437"/>
      <c r="I14" s="441"/>
      <c r="J14" s="114"/>
      <c r="K14" s="27"/>
    </row>
    <row r="15" spans="1:16" ht="24.95" customHeight="1">
      <c r="A15" s="772"/>
      <c r="B15" s="112"/>
      <c r="C15" s="389"/>
      <c r="D15" s="23"/>
      <c r="E15" s="834"/>
      <c r="F15" s="835"/>
      <c r="G15" s="439"/>
      <c r="H15" s="437"/>
      <c r="I15" s="441"/>
      <c r="J15" s="424"/>
      <c r="K15" s="27"/>
    </row>
    <row r="16" spans="1:16" ht="24.95" customHeight="1">
      <c r="A16" s="772"/>
      <c r="B16" s="112"/>
      <c r="C16" s="430"/>
      <c r="D16" s="23"/>
      <c r="E16" s="836"/>
      <c r="F16" s="837"/>
      <c r="G16" s="439"/>
      <c r="H16" s="437"/>
      <c r="I16" s="440"/>
      <c r="J16" s="114"/>
    </row>
    <row r="17" spans="1:11" ht="24.95" customHeight="1">
      <c r="A17" s="772"/>
      <c r="B17" s="112"/>
      <c r="C17" s="438"/>
      <c r="D17" s="23"/>
      <c r="E17" s="836"/>
      <c r="F17" s="837"/>
      <c r="G17" s="439"/>
      <c r="H17" s="437"/>
      <c r="I17" s="441"/>
      <c r="J17" s="114"/>
    </row>
    <row r="18" spans="1:11" ht="24.95" customHeight="1">
      <c r="A18" s="772"/>
      <c r="B18" s="112"/>
      <c r="C18" s="442"/>
      <c r="D18" s="23"/>
      <c r="E18" s="836"/>
      <c r="F18" s="837"/>
      <c r="G18" s="443"/>
      <c r="H18" s="437"/>
      <c r="I18" s="437"/>
      <c r="J18" s="114"/>
    </row>
    <row r="19" spans="1:11" ht="19.5" customHeight="1">
      <c r="A19" s="772"/>
      <c r="B19" s="112"/>
      <c r="C19" s="430"/>
      <c r="D19" s="23"/>
      <c r="E19" s="840"/>
      <c r="F19" s="840"/>
      <c r="G19" s="431"/>
      <c r="H19" s="841"/>
      <c r="I19" s="841"/>
      <c r="J19" s="432"/>
    </row>
    <row r="20" spans="1:11" ht="19.5" customHeight="1">
      <c r="A20" s="772"/>
      <c r="B20" s="112"/>
      <c r="C20" s="430"/>
      <c r="D20" s="23"/>
      <c r="E20" s="840"/>
      <c r="F20" s="840"/>
      <c r="G20" s="431"/>
      <c r="H20" s="841"/>
      <c r="I20" s="841"/>
      <c r="J20" s="432"/>
    </row>
    <row r="21" spans="1:11" ht="19.5" customHeight="1">
      <c r="A21" s="772"/>
      <c r="B21" s="112"/>
      <c r="C21" s="430"/>
      <c r="D21" s="23"/>
      <c r="E21" s="840"/>
      <c r="F21" s="840"/>
      <c r="G21" s="431"/>
      <c r="H21" s="792"/>
      <c r="I21" s="792"/>
      <c r="J21" s="432"/>
      <c r="K21" s="103"/>
    </row>
    <row r="22" spans="1:11" ht="19.5" customHeight="1">
      <c r="A22" s="772"/>
      <c r="B22" s="115"/>
      <c r="C22" s="25"/>
      <c r="D22" s="16"/>
      <c r="E22" s="765"/>
      <c r="F22" s="765"/>
      <c r="G22" s="20"/>
      <c r="H22" s="791"/>
      <c r="I22" s="791"/>
      <c r="J22" s="18"/>
    </row>
    <row r="23" spans="1:11" ht="19.5" customHeight="1">
      <c r="A23" s="772"/>
      <c r="B23" s="115"/>
      <c r="C23" s="25"/>
      <c r="D23" s="16"/>
      <c r="E23" s="765"/>
      <c r="F23" s="765"/>
      <c r="G23" s="20"/>
      <c r="H23" s="791"/>
      <c r="I23" s="791"/>
      <c r="J23" s="18"/>
    </row>
    <row r="24" spans="1:11" ht="19.5" customHeight="1">
      <c r="A24" s="772"/>
      <c r="B24" s="115"/>
      <c r="C24" s="25"/>
      <c r="D24" s="16"/>
      <c r="E24" s="765"/>
      <c r="F24" s="765"/>
      <c r="G24" s="20"/>
      <c r="H24" s="790"/>
      <c r="I24" s="790"/>
      <c r="J24" s="18"/>
      <c r="K24" s="103"/>
    </row>
    <row r="25" spans="1:11" ht="19.5" customHeight="1">
      <c r="A25" s="772"/>
      <c r="B25" s="115"/>
      <c r="C25" s="25"/>
      <c r="D25" s="16"/>
      <c r="E25" s="793"/>
      <c r="F25" s="793"/>
      <c r="G25" s="20"/>
      <c r="H25" s="794"/>
      <c r="I25" s="794"/>
      <c r="J25" s="18"/>
    </row>
    <row r="26" spans="1:11" ht="19.5" customHeight="1">
      <c r="A26" s="772"/>
      <c r="B26" s="115"/>
      <c r="C26" s="116"/>
      <c r="D26" s="115"/>
      <c r="E26" s="765"/>
      <c r="F26" s="765"/>
      <c r="G26" s="132"/>
      <c r="H26" s="788"/>
      <c r="I26" s="788"/>
      <c r="J26" s="133"/>
    </row>
    <row r="27" spans="1:11" ht="19.5" customHeight="1">
      <c r="A27" s="772"/>
      <c r="B27" s="115"/>
      <c r="C27" s="116"/>
      <c r="D27" s="115"/>
      <c r="E27" s="765"/>
      <c r="F27" s="765"/>
      <c r="G27" s="134"/>
      <c r="H27" s="788"/>
      <c r="I27" s="788"/>
      <c r="J27" s="17"/>
    </row>
    <row r="28" spans="1:11" ht="19.5" customHeight="1">
      <c r="A28" s="772"/>
      <c r="B28" s="115"/>
      <c r="C28" s="116"/>
      <c r="D28" s="115"/>
      <c r="E28" s="765"/>
      <c r="F28" s="765"/>
      <c r="G28" s="134"/>
      <c r="H28" s="788"/>
      <c r="I28" s="788"/>
      <c r="J28" s="17"/>
    </row>
    <row r="29" spans="1:11" ht="19.5" customHeight="1">
      <c r="A29" s="772"/>
      <c r="B29" s="115"/>
      <c r="C29" s="116"/>
      <c r="D29" s="115"/>
      <c r="E29" s="765"/>
      <c r="F29" s="765"/>
      <c r="G29" s="134"/>
      <c r="H29" s="788"/>
      <c r="I29" s="788"/>
      <c r="J29" s="17"/>
    </row>
    <row r="30" spans="1:11" ht="19.5" customHeight="1">
      <c r="B30" s="115"/>
      <c r="C30" s="116"/>
      <c r="D30" s="115"/>
      <c r="E30" s="765"/>
      <c r="F30" s="765"/>
      <c r="G30" s="134"/>
      <c r="H30" s="788"/>
      <c r="I30" s="788"/>
      <c r="J30" s="17"/>
    </row>
    <row r="31" spans="1:11" ht="19.5" customHeight="1">
      <c r="B31" s="115"/>
      <c r="C31" s="116"/>
      <c r="D31" s="115"/>
      <c r="E31" s="765"/>
      <c r="F31" s="765"/>
      <c r="G31" s="134"/>
      <c r="H31" s="788"/>
      <c r="I31" s="788"/>
      <c r="J31" s="17"/>
    </row>
    <row r="32" spans="1:11" ht="19.5" customHeight="1">
      <c r="B32" s="115"/>
      <c r="C32" s="118"/>
      <c r="D32" s="118"/>
      <c r="E32" s="765"/>
      <c r="F32" s="765"/>
      <c r="G32" s="135"/>
      <c r="H32" s="791"/>
      <c r="I32" s="791"/>
      <c r="J32" s="118"/>
    </row>
    <row r="33" spans="1:10" ht="19.5" customHeight="1">
      <c r="B33" s="115"/>
      <c r="C33" s="118"/>
      <c r="D33" s="118"/>
      <c r="E33" s="765"/>
      <c r="F33" s="765"/>
      <c r="G33" s="135"/>
      <c r="H33" s="788"/>
      <c r="I33" s="788"/>
      <c r="J33" s="118"/>
    </row>
    <row r="34" spans="1:10" ht="18.75" customHeight="1">
      <c r="A34" s="119"/>
      <c r="B34" s="120"/>
      <c r="C34" s="121"/>
      <c r="D34" s="121"/>
      <c r="E34" s="767"/>
      <c r="F34" s="767"/>
      <c r="G34" s="136"/>
      <c r="H34" s="789"/>
      <c r="I34" s="789"/>
      <c r="J34" s="121"/>
    </row>
    <row r="35" spans="1:10" ht="12.75" customHeight="1">
      <c r="A35" s="122"/>
      <c r="B35" s="123" t="s">
        <v>428</v>
      </c>
      <c r="C35" s="95"/>
    </row>
    <row r="36" spans="1:10" ht="12" customHeight="1">
      <c r="C36" s="124"/>
      <c r="D36" s="1"/>
      <c r="F36" s="29"/>
      <c r="G36" s="29"/>
    </row>
    <row r="37" spans="1:10">
      <c r="D37" s="95"/>
    </row>
    <row r="40" spans="1:10">
      <c r="I40" s="125"/>
    </row>
    <row r="44" spans="1:10">
      <c r="E44" s="126" t="s">
        <v>432</v>
      </c>
    </row>
    <row r="47" spans="1:10">
      <c r="D47" s="95"/>
    </row>
    <row r="48" spans="1:10">
      <c r="A48" s="122"/>
    </row>
  </sheetData>
  <mergeCells count="58">
    <mergeCell ref="E9:F9"/>
    <mergeCell ref="G9:I9"/>
    <mergeCell ref="E10:F10"/>
    <mergeCell ref="B7:D7"/>
    <mergeCell ref="E7:I7"/>
    <mergeCell ref="H10:I10"/>
    <mergeCell ref="J7:J8"/>
    <mergeCell ref="B8:D8"/>
    <mergeCell ref="E8:I8"/>
    <mergeCell ref="B1:J1"/>
    <mergeCell ref="B5:D5"/>
    <mergeCell ref="E5:G5"/>
    <mergeCell ref="H5:J5"/>
    <mergeCell ref="B6:D6"/>
    <mergeCell ref="E6:G6"/>
    <mergeCell ref="H6:J6"/>
    <mergeCell ref="A11:A29"/>
    <mergeCell ref="E11:F11"/>
    <mergeCell ref="H11:I11"/>
    <mergeCell ref="E12:F12"/>
    <mergeCell ref="E13:F13"/>
    <mergeCell ref="E14:F14"/>
    <mergeCell ref="E15:F15"/>
    <mergeCell ref="E16:F16"/>
    <mergeCell ref="E17:F17"/>
    <mergeCell ref="E18:F18"/>
    <mergeCell ref="E19:F19"/>
    <mergeCell ref="H19:I19"/>
    <mergeCell ref="E20:F20"/>
    <mergeCell ref="H20:I20"/>
    <mergeCell ref="E21:F21"/>
    <mergeCell ref="H21:I21"/>
    <mergeCell ref="E22:F22"/>
    <mergeCell ref="H22:I22"/>
    <mergeCell ref="E23:F23"/>
    <mergeCell ref="H23:I23"/>
    <mergeCell ref="H29:I29"/>
    <mergeCell ref="E24:F24"/>
    <mergeCell ref="H24:I24"/>
    <mergeCell ref="E25:F25"/>
    <mergeCell ref="H25:I25"/>
    <mergeCell ref="E26:F26"/>
    <mergeCell ref="H26:I26"/>
    <mergeCell ref="E31:F31"/>
    <mergeCell ref="H31:I31"/>
    <mergeCell ref="E34:F34"/>
    <mergeCell ref="H34:I34"/>
    <mergeCell ref="E32:F32"/>
    <mergeCell ref="H32:I32"/>
    <mergeCell ref="E33:F33"/>
    <mergeCell ref="H33:I33"/>
    <mergeCell ref="E30:F30"/>
    <mergeCell ref="H30:I30"/>
    <mergeCell ref="E27:F27"/>
    <mergeCell ref="H27:I27"/>
    <mergeCell ref="E28:F28"/>
    <mergeCell ref="H28:I28"/>
    <mergeCell ref="E29:F29"/>
  </mergeCells>
  <printOptions horizontalCentered="1"/>
  <pageMargins left="0.59027777777777801" right="0.39374999999999999" top="0.78749999999999998" bottom="0.4" header="0.511811023622047" footer="0.511811023622047"/>
  <pageSetup paperSize="9" scale="96"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sheetPr>
  <dimension ref="A2:I49"/>
  <sheetViews>
    <sheetView showGridLines="0" view="pageBreakPreview" workbookViewId="0">
      <selection activeCell="Q37" sqref="Q37"/>
    </sheetView>
  </sheetViews>
  <sheetFormatPr defaultColWidth="8.7109375" defaultRowHeight="12.75"/>
  <cols>
    <col min="7" max="7" width="16.28515625" customWidth="1"/>
  </cols>
  <sheetData>
    <row r="2" spans="1:9">
      <c r="A2" s="8"/>
    </row>
    <row r="3" spans="1:9" ht="18.75">
      <c r="A3" s="846" t="s">
        <v>498</v>
      </c>
      <c r="B3" s="846"/>
      <c r="C3" s="846"/>
      <c r="D3" s="846"/>
      <c r="E3" s="846"/>
      <c r="F3" s="846"/>
      <c r="G3" s="846"/>
      <c r="H3" s="846"/>
    </row>
    <row r="5" spans="1:9" ht="14.25">
      <c r="B5" s="201"/>
    </row>
    <row r="6" spans="1:9" ht="15.75">
      <c r="A6" s="201" t="s">
        <v>499</v>
      </c>
      <c r="C6" s="202" t="str">
        <f>Input!D2</f>
        <v>HANNA</v>
      </c>
      <c r="F6" t="s">
        <v>500</v>
      </c>
      <c r="G6" s="203" t="str">
        <f>Input!D12</f>
        <v>Napoli</v>
      </c>
    </row>
    <row r="7" spans="1:9" ht="14.25">
      <c r="A7" s="201" t="s">
        <v>501</v>
      </c>
      <c r="B7" s="201"/>
      <c r="C7" s="204" t="str">
        <f>Input!H4</f>
        <v>Limassol</v>
      </c>
      <c r="F7" t="s">
        <v>487</v>
      </c>
      <c r="G7" s="374">
        <f>Input!D8</f>
        <v>46167</v>
      </c>
    </row>
    <row r="8" spans="1:9" ht="14.25">
      <c r="A8" s="201"/>
      <c r="B8" s="201"/>
      <c r="C8" s="201"/>
      <c r="D8" s="201"/>
      <c r="E8" s="201"/>
      <c r="F8" s="201"/>
      <c r="G8" s="201"/>
      <c r="H8" s="201"/>
      <c r="I8" s="201"/>
    </row>
    <row r="9" spans="1:9" ht="14.25">
      <c r="A9" s="205"/>
      <c r="B9" s="205"/>
      <c r="C9" s="205"/>
      <c r="D9" s="205"/>
      <c r="E9" s="205"/>
      <c r="F9" s="205"/>
      <c r="G9" s="205"/>
      <c r="H9" s="205"/>
      <c r="I9" s="201"/>
    </row>
    <row r="10" spans="1:9" ht="14.25">
      <c r="A10" s="201"/>
      <c r="B10" s="201"/>
      <c r="C10" s="201"/>
      <c r="D10" s="201"/>
      <c r="E10" s="201"/>
      <c r="F10" s="201"/>
      <c r="G10" s="201"/>
      <c r="H10" s="201"/>
      <c r="I10" s="201"/>
    </row>
    <row r="11" spans="1:9" ht="15">
      <c r="A11" s="206"/>
      <c r="B11" s="207" t="s">
        <v>631</v>
      </c>
      <c r="C11" s="206"/>
      <c r="D11" s="206"/>
      <c r="E11" s="206"/>
      <c r="F11" s="206"/>
      <c r="G11" s="206"/>
      <c r="H11" s="206"/>
      <c r="I11" s="201"/>
    </row>
    <row r="12" spans="1:9" ht="15">
      <c r="A12" s="208"/>
      <c r="B12" s="209"/>
      <c r="C12" s="208"/>
      <c r="D12" s="208"/>
      <c r="E12" s="210"/>
      <c r="F12" s="206"/>
      <c r="G12" s="210"/>
      <c r="H12" s="206"/>
      <c r="I12" s="201"/>
    </row>
    <row r="13" spans="1:9" ht="15">
      <c r="A13" s="208"/>
      <c r="B13" s="209" t="s">
        <v>502</v>
      </c>
      <c r="C13" s="208"/>
      <c r="D13" s="208"/>
      <c r="E13" s="210"/>
      <c r="F13" s="206"/>
      <c r="G13" s="210"/>
      <c r="H13" s="206"/>
      <c r="I13" s="201"/>
    </row>
    <row r="14" spans="1:9" ht="15">
      <c r="A14" s="208"/>
      <c r="B14" s="209"/>
      <c r="C14" s="208"/>
      <c r="D14" s="208"/>
      <c r="E14" s="210"/>
      <c r="F14" s="206"/>
      <c r="G14" s="210"/>
      <c r="H14" s="206"/>
      <c r="I14" s="201"/>
    </row>
    <row r="15" spans="1:9" ht="15">
      <c r="A15" s="208"/>
      <c r="B15" s="209" t="s">
        <v>503</v>
      </c>
      <c r="C15" s="208"/>
      <c r="D15" s="208"/>
      <c r="E15" s="210"/>
      <c r="F15" s="206"/>
      <c r="G15" s="210"/>
      <c r="H15" s="206"/>
      <c r="I15" s="201"/>
    </row>
    <row r="16" spans="1:9" ht="15">
      <c r="A16" s="208"/>
      <c r="B16" s="209"/>
      <c r="C16" s="208"/>
      <c r="D16" s="208"/>
      <c r="E16" s="210"/>
      <c r="F16" s="206"/>
      <c r="G16" s="210"/>
      <c r="H16" s="206"/>
      <c r="I16" s="201"/>
    </row>
    <row r="17" spans="1:9" ht="15">
      <c r="A17" s="208"/>
      <c r="B17" s="211" t="s">
        <v>504</v>
      </c>
      <c r="C17" s="212"/>
      <c r="D17" s="212"/>
      <c r="E17" s="213"/>
      <c r="F17" s="206"/>
      <c r="G17" s="210"/>
      <c r="H17" s="206"/>
      <c r="I17" s="201"/>
    </row>
    <row r="18" spans="1:9" ht="15">
      <c r="A18" s="208"/>
      <c r="B18" s="209"/>
      <c r="C18" s="208"/>
      <c r="D18" s="208"/>
      <c r="E18" s="210"/>
      <c r="F18" s="206"/>
      <c r="G18" s="210"/>
      <c r="H18" s="206"/>
      <c r="I18" s="201"/>
    </row>
    <row r="19" spans="1:9" ht="15">
      <c r="A19" s="208"/>
      <c r="B19" s="211"/>
      <c r="C19" s="212"/>
      <c r="D19" s="212"/>
      <c r="E19" s="213"/>
      <c r="F19" s="206"/>
      <c r="G19" s="206"/>
      <c r="H19" s="206"/>
      <c r="I19" s="201"/>
    </row>
    <row r="20" spans="1:9" ht="15">
      <c r="A20" s="208"/>
      <c r="B20" s="214"/>
      <c r="C20" s="212"/>
      <c r="D20" s="212"/>
      <c r="E20" s="213"/>
      <c r="F20" s="213"/>
      <c r="G20" s="213"/>
      <c r="H20" s="206"/>
      <c r="I20" s="201"/>
    </row>
    <row r="21" spans="1:9" ht="15">
      <c r="A21" s="208"/>
      <c r="B21" s="211"/>
      <c r="C21" s="212"/>
      <c r="D21" s="212"/>
      <c r="E21" s="213"/>
      <c r="F21" s="213"/>
      <c r="G21" s="213"/>
      <c r="H21" s="206"/>
      <c r="I21" s="201"/>
    </row>
    <row r="22" spans="1:9" ht="14.25">
      <c r="A22" s="215"/>
      <c r="B22" s="216"/>
      <c r="C22" s="217"/>
      <c r="D22" s="217"/>
      <c r="E22" s="218"/>
      <c r="F22" s="218"/>
      <c r="G22" s="218"/>
      <c r="H22" s="201"/>
      <c r="I22" s="201"/>
    </row>
    <row r="23" spans="1:9" ht="14.25">
      <c r="A23" s="215"/>
      <c r="B23" s="216"/>
      <c r="C23" s="217"/>
      <c r="D23" s="217"/>
      <c r="E23" s="218"/>
      <c r="F23" s="218"/>
      <c r="G23" s="218"/>
      <c r="H23" s="201"/>
      <c r="I23" s="201"/>
    </row>
    <row r="24" spans="1:9" ht="14.25">
      <c r="A24" s="215"/>
      <c r="B24" s="219"/>
      <c r="C24" s="215"/>
      <c r="D24" s="215"/>
      <c r="E24" s="201"/>
      <c r="F24" s="201"/>
      <c r="G24" s="201"/>
      <c r="H24" s="201"/>
      <c r="I24" s="201"/>
    </row>
    <row r="25" spans="1:9" ht="14.25">
      <c r="A25" s="215"/>
      <c r="B25" s="219"/>
      <c r="C25" s="215"/>
      <c r="D25" s="215"/>
      <c r="E25" s="201"/>
      <c r="F25" s="201"/>
      <c r="G25" s="201"/>
      <c r="H25" s="201"/>
      <c r="I25" s="201"/>
    </row>
    <row r="26" spans="1:9" ht="14.25">
      <c r="A26" s="215"/>
      <c r="B26" s="219"/>
      <c r="C26" s="215"/>
      <c r="D26" s="215"/>
      <c r="E26" s="201"/>
      <c r="F26" s="201"/>
      <c r="G26" s="201"/>
      <c r="H26" s="201"/>
      <c r="I26" s="201"/>
    </row>
    <row r="27" spans="1:9" ht="14.25">
      <c r="A27" s="215"/>
      <c r="B27" s="219"/>
      <c r="C27" s="215"/>
      <c r="D27" s="215"/>
      <c r="E27" s="201"/>
      <c r="F27" s="201"/>
      <c r="G27" s="201"/>
      <c r="H27" s="201"/>
      <c r="I27" s="201"/>
    </row>
    <row r="28" spans="1:9" ht="14.25">
      <c r="A28" s="215"/>
      <c r="B28" s="219"/>
      <c r="C28" s="215"/>
      <c r="D28" s="215"/>
      <c r="E28" s="201"/>
      <c r="F28" s="201"/>
      <c r="G28" s="201"/>
      <c r="H28" s="201"/>
      <c r="I28" s="201"/>
    </row>
    <row r="29" spans="1:9" ht="14.25">
      <c r="A29" s="215"/>
      <c r="B29" s="219"/>
      <c r="C29" s="215"/>
      <c r="D29" s="215"/>
      <c r="E29" s="201"/>
      <c r="F29" s="201"/>
      <c r="G29" s="201"/>
      <c r="H29" s="201"/>
      <c r="I29" s="201"/>
    </row>
    <row r="30" spans="1:9" ht="14.25">
      <c r="A30" s="215"/>
      <c r="B30" s="219"/>
      <c r="C30" s="215"/>
      <c r="D30" s="215"/>
      <c r="E30" s="201"/>
      <c r="F30" s="201"/>
      <c r="G30" s="201"/>
      <c r="H30" s="201"/>
      <c r="I30" s="201"/>
    </row>
    <row r="31" spans="1:9" ht="14.25">
      <c r="A31" s="215"/>
      <c r="B31" s="219"/>
      <c r="C31" s="215"/>
      <c r="D31" s="215"/>
      <c r="E31" s="201"/>
      <c r="F31" s="201"/>
      <c r="G31" s="201"/>
      <c r="H31" s="201"/>
      <c r="I31" s="201"/>
    </row>
    <row r="32" spans="1:9" ht="14.25">
      <c r="A32" s="215"/>
      <c r="B32" s="219"/>
      <c r="C32" s="215"/>
      <c r="D32" s="215"/>
      <c r="E32" s="201"/>
      <c r="F32" s="201"/>
      <c r="G32" s="201"/>
      <c r="H32" s="201"/>
      <c r="I32" s="201"/>
    </row>
    <row r="33" spans="1:9" ht="14.25">
      <c r="A33" s="215"/>
      <c r="B33" s="219"/>
      <c r="C33" s="215"/>
      <c r="D33" s="215"/>
      <c r="E33" s="201"/>
      <c r="F33" s="201"/>
      <c r="G33" s="201"/>
      <c r="H33" s="201"/>
      <c r="I33" s="201"/>
    </row>
    <row r="34" spans="1:9" ht="14.25">
      <c r="A34" s="215"/>
      <c r="B34" s="219"/>
      <c r="C34" s="215"/>
      <c r="D34" s="215"/>
      <c r="E34" s="201"/>
      <c r="F34" s="201"/>
      <c r="G34" s="201"/>
      <c r="H34" s="201"/>
      <c r="I34" s="201"/>
    </row>
    <row r="35" spans="1:9" ht="14.25">
      <c r="A35" s="215"/>
      <c r="B35" s="219"/>
      <c r="C35" s="215"/>
      <c r="D35" s="215"/>
      <c r="E35" s="201"/>
      <c r="F35" s="201"/>
      <c r="G35" s="201"/>
      <c r="H35" s="201"/>
      <c r="I35" s="201"/>
    </row>
    <row r="36" spans="1:9" ht="14.25">
      <c r="A36" s="215"/>
      <c r="B36" s="219"/>
      <c r="C36" s="215"/>
      <c r="D36" s="215"/>
      <c r="E36" s="205" t="s">
        <v>24</v>
      </c>
      <c r="F36" s="205"/>
      <c r="G36" s="205" t="str">
        <f>Input!L6</f>
        <v>ZHYKHARIEV, Dmytro</v>
      </c>
      <c r="H36" s="205"/>
      <c r="I36" s="201"/>
    </row>
    <row r="37" spans="1:9" ht="14.25">
      <c r="A37" s="215"/>
      <c r="B37" s="219"/>
      <c r="C37" s="215"/>
      <c r="D37" s="215"/>
      <c r="E37" s="201"/>
      <c r="F37" s="201"/>
      <c r="G37" s="201"/>
      <c r="H37" s="201"/>
      <c r="I37" s="201"/>
    </row>
    <row r="38" spans="1:9" ht="14.25">
      <c r="A38" s="215"/>
      <c r="B38" s="219"/>
      <c r="C38" s="215"/>
      <c r="D38" s="215"/>
      <c r="E38" s="201"/>
      <c r="F38" s="201"/>
      <c r="G38" s="201"/>
      <c r="H38" s="201"/>
      <c r="I38" s="201"/>
    </row>
    <row r="39" spans="1:9" ht="14.25">
      <c r="A39" s="215"/>
      <c r="B39" s="219"/>
      <c r="C39" s="215"/>
      <c r="D39" s="215"/>
      <c r="E39" s="201"/>
      <c r="F39" s="201"/>
      <c r="G39" s="201"/>
      <c r="H39" s="201"/>
      <c r="I39" s="201"/>
    </row>
    <row r="40" spans="1:9" ht="14.25">
      <c r="A40" s="215"/>
      <c r="B40" s="219"/>
      <c r="C40" s="215"/>
      <c r="D40" s="215"/>
      <c r="E40" s="201"/>
      <c r="F40" s="201"/>
      <c r="G40" s="201"/>
      <c r="H40" s="201"/>
      <c r="I40" s="201"/>
    </row>
    <row r="41" spans="1:9" ht="14.25">
      <c r="A41" s="201"/>
      <c r="B41" s="201"/>
      <c r="C41" s="201"/>
      <c r="D41" s="201"/>
      <c r="E41" s="201"/>
      <c r="F41" s="201"/>
      <c r="G41" s="201"/>
      <c r="H41" s="201"/>
      <c r="I41" s="201"/>
    </row>
    <row r="42" spans="1:9" ht="14.25">
      <c r="A42" s="201"/>
      <c r="B42" s="201"/>
      <c r="C42" s="201"/>
      <c r="D42" s="201"/>
      <c r="E42" s="201"/>
      <c r="F42" s="201"/>
      <c r="G42" s="201"/>
      <c r="H42" s="201"/>
      <c r="I42" s="201"/>
    </row>
    <row r="43" spans="1:9" ht="14.25">
      <c r="A43" s="201"/>
      <c r="B43" s="201"/>
      <c r="C43" s="201"/>
      <c r="D43" s="201"/>
      <c r="E43" s="201"/>
      <c r="F43" s="201"/>
      <c r="G43" s="201"/>
      <c r="H43" s="201"/>
      <c r="I43" s="201"/>
    </row>
    <row r="44" spans="1:9" ht="14.25">
      <c r="A44" s="201"/>
      <c r="B44" s="201"/>
      <c r="C44" s="201"/>
      <c r="D44" s="201"/>
      <c r="E44" s="201"/>
      <c r="F44" s="201"/>
      <c r="G44" s="201"/>
      <c r="H44" s="201"/>
      <c r="I44" s="201"/>
    </row>
    <row r="45" spans="1:9" ht="14.25">
      <c r="A45" s="201"/>
      <c r="B45" s="201"/>
      <c r="C45" s="201"/>
      <c r="D45" s="201"/>
      <c r="E45" s="201"/>
      <c r="F45" s="201"/>
      <c r="G45" s="201"/>
      <c r="H45" s="201"/>
      <c r="I45" s="201"/>
    </row>
    <row r="46" spans="1:9" ht="14.25">
      <c r="A46" s="201"/>
      <c r="B46" s="201"/>
      <c r="C46" s="201"/>
      <c r="D46" s="201"/>
    </row>
    <row r="47" spans="1:9" ht="14.25">
      <c r="A47" s="201"/>
      <c r="B47" s="201"/>
      <c r="C47" s="201"/>
      <c r="D47" s="201"/>
      <c r="E47" s="201"/>
      <c r="F47" s="201"/>
      <c r="G47" s="201"/>
      <c r="H47" s="201"/>
      <c r="I47" s="201"/>
    </row>
    <row r="48" spans="1:9" ht="14.25">
      <c r="A48" s="201"/>
      <c r="B48" s="201"/>
      <c r="C48" s="201"/>
      <c r="D48" s="201"/>
      <c r="E48" s="201"/>
      <c r="F48" s="201"/>
      <c r="G48" s="201"/>
      <c r="H48" s="201"/>
      <c r="I48" s="201"/>
    </row>
    <row r="49" spans="1:9" ht="14.25">
      <c r="A49" s="201"/>
      <c r="B49" s="201"/>
      <c r="C49" s="201"/>
      <c r="D49" s="201"/>
      <c r="E49" s="201"/>
      <c r="F49" s="201"/>
      <c r="G49" s="201"/>
      <c r="H49" s="201"/>
      <c r="I49" s="201"/>
    </row>
  </sheetData>
  <mergeCells count="1">
    <mergeCell ref="A3:H3"/>
  </mergeCells>
  <pageMargins left="0.75" right="0.75" top="1" bottom="1" header="0.511811023622047" footer="0.511811023622047"/>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115-DF7F-4A63-A332-E761584C6A03}">
  <sheetPr>
    <tabColor theme="4" tint="0.39997558519241921"/>
  </sheetPr>
  <dimension ref="A2:I42"/>
  <sheetViews>
    <sheetView showGridLines="0" view="pageBreakPreview" workbookViewId="0">
      <selection activeCell="B15" sqref="B15"/>
    </sheetView>
  </sheetViews>
  <sheetFormatPr defaultColWidth="8.7109375" defaultRowHeight="12.75"/>
  <cols>
    <col min="7" max="7" width="16.28515625" customWidth="1"/>
  </cols>
  <sheetData>
    <row r="2" spans="1:9">
      <c r="A2" s="8"/>
    </row>
    <row r="3" spans="1:9" ht="18.75">
      <c r="A3" s="846" t="s">
        <v>899</v>
      </c>
      <c r="B3" s="846"/>
      <c r="C3" s="846"/>
      <c r="D3" s="846"/>
      <c r="E3" s="846"/>
      <c r="F3" s="846"/>
      <c r="G3" s="846"/>
      <c r="H3" s="846"/>
    </row>
    <row r="5" spans="1:9" ht="14.25">
      <c r="B5" s="201"/>
    </row>
    <row r="6" spans="1:9" ht="15.75">
      <c r="A6" s="201" t="s">
        <v>499</v>
      </c>
      <c r="C6" s="202" t="str">
        <f>Input!D2</f>
        <v>HANNA</v>
      </c>
      <c r="F6" t="s">
        <v>500</v>
      </c>
      <c r="G6" s="203" t="str">
        <f>Input!D12</f>
        <v>Napoli</v>
      </c>
    </row>
    <row r="7" spans="1:9" ht="14.25">
      <c r="A7" s="201" t="s">
        <v>501</v>
      </c>
      <c r="B7" s="201"/>
      <c r="C7" s="204" t="str">
        <f>Input!H4</f>
        <v>Limassol</v>
      </c>
      <c r="F7" t="s">
        <v>487</v>
      </c>
      <c r="G7" s="374">
        <f>Input!D8</f>
        <v>46167</v>
      </c>
    </row>
    <row r="8" spans="1:9" ht="14.25">
      <c r="A8" s="201"/>
      <c r="B8" s="201"/>
      <c r="C8" s="201"/>
      <c r="D8" s="201"/>
      <c r="E8" s="201"/>
      <c r="F8" s="201"/>
      <c r="G8" s="201"/>
      <c r="H8" s="201"/>
      <c r="I8" s="201"/>
    </row>
    <row r="9" spans="1:9" ht="14.25">
      <c r="A9" s="205"/>
      <c r="B9" s="205"/>
      <c r="C9" s="205"/>
      <c r="D9" s="205"/>
      <c r="E9" s="205"/>
      <c r="F9" s="205"/>
      <c r="G9" s="205"/>
      <c r="H9" s="205"/>
      <c r="I9" s="201"/>
    </row>
    <row r="10" spans="1:9" ht="14.25">
      <c r="A10" s="201"/>
      <c r="B10" s="201"/>
      <c r="C10" s="201"/>
      <c r="D10" s="201"/>
      <c r="E10" s="201"/>
      <c r="F10" s="201"/>
      <c r="G10" s="201"/>
      <c r="H10" s="201"/>
      <c r="I10" s="201"/>
    </row>
    <row r="11" spans="1:9" ht="15">
      <c r="A11" s="208"/>
      <c r="B11" s="209"/>
      <c r="C11" s="208"/>
      <c r="D11" s="208"/>
      <c r="E11" s="210"/>
      <c r="F11" s="206"/>
      <c r="G11" s="210"/>
      <c r="H11" s="206"/>
      <c r="I11" s="201"/>
    </row>
    <row r="12" spans="1:9" ht="15">
      <c r="A12" s="208"/>
      <c r="B12" s="211">
        <v>2800</v>
      </c>
      <c r="C12" s="212"/>
      <c r="D12" s="212"/>
      <c r="E12" s="213"/>
      <c r="F12" s="206"/>
      <c r="G12" s="206"/>
      <c r="H12" s="206"/>
      <c r="I12" s="201"/>
    </row>
    <row r="13" spans="1:9" ht="15">
      <c r="A13" s="208"/>
      <c r="B13" s="214"/>
      <c r="C13" s="212"/>
      <c r="D13" s="212"/>
      <c r="E13" s="213"/>
      <c r="F13" s="213"/>
      <c r="G13" s="213"/>
      <c r="H13" s="206"/>
      <c r="I13" s="201"/>
    </row>
    <row r="14" spans="1:9" ht="15">
      <c r="A14" s="208"/>
      <c r="B14" s="211">
        <v>6300</v>
      </c>
      <c r="C14" s="212"/>
      <c r="D14" s="212"/>
      <c r="E14" s="213"/>
      <c r="F14" s="213"/>
      <c r="G14" s="213"/>
      <c r="H14" s="206"/>
      <c r="I14" s="201"/>
    </row>
    <row r="15" spans="1:9" ht="14.25">
      <c r="A15" s="215"/>
      <c r="B15" s="216"/>
      <c r="C15" s="217"/>
      <c r="D15" s="217"/>
      <c r="E15" s="218"/>
      <c r="F15" s="218"/>
      <c r="G15" s="218"/>
      <c r="H15" s="201"/>
      <c r="I15" s="201"/>
    </row>
    <row r="16" spans="1:9" ht="14.25">
      <c r="A16" s="215"/>
      <c r="B16" s="216"/>
      <c r="C16" s="217"/>
      <c r="D16" s="217"/>
      <c r="E16" s="218"/>
      <c r="F16" s="218"/>
      <c r="G16" s="218"/>
      <c r="H16" s="201"/>
      <c r="I16" s="201"/>
    </row>
    <row r="17" spans="1:9" ht="14.25">
      <c r="A17" s="215"/>
      <c r="B17" s="219"/>
      <c r="C17" s="215"/>
      <c r="D17" s="215"/>
      <c r="E17" s="201"/>
      <c r="F17" s="201"/>
      <c r="G17" s="201"/>
      <c r="H17" s="201"/>
      <c r="I17" s="201"/>
    </row>
    <row r="18" spans="1:9" ht="14.25">
      <c r="A18" s="215"/>
      <c r="B18" s="219"/>
      <c r="C18" s="215"/>
      <c r="D18" s="215"/>
      <c r="E18" s="201"/>
      <c r="F18" s="201"/>
      <c r="G18" s="201"/>
      <c r="H18" s="201"/>
      <c r="I18" s="201"/>
    </row>
    <row r="19" spans="1:9" ht="14.25">
      <c r="A19" s="215"/>
      <c r="B19" s="219"/>
      <c r="C19" s="215"/>
      <c r="D19" s="215"/>
      <c r="E19" s="201"/>
      <c r="F19" s="201"/>
      <c r="G19" s="201"/>
      <c r="H19" s="201"/>
      <c r="I19" s="201"/>
    </row>
    <row r="20" spans="1:9" ht="14.25">
      <c r="A20" s="215"/>
      <c r="B20" s="219"/>
      <c r="C20" s="215"/>
      <c r="D20" s="215"/>
      <c r="E20" s="201"/>
      <c r="F20" s="201"/>
      <c r="G20" s="201"/>
      <c r="H20" s="201"/>
      <c r="I20" s="201"/>
    </row>
    <row r="21" spans="1:9" ht="14.25">
      <c r="A21" s="215"/>
      <c r="B21" s="219"/>
      <c r="C21" s="215"/>
      <c r="D21" s="215"/>
      <c r="E21" s="201"/>
      <c r="F21" s="201"/>
      <c r="G21" s="201"/>
      <c r="H21" s="201"/>
      <c r="I21" s="201"/>
    </row>
    <row r="22" spans="1:9" ht="14.25">
      <c r="A22" s="215"/>
      <c r="B22" s="219"/>
      <c r="C22" s="215"/>
      <c r="D22" s="215"/>
      <c r="E22" s="201"/>
      <c r="F22" s="201"/>
      <c r="G22" s="201"/>
      <c r="H22" s="201"/>
      <c r="I22" s="201"/>
    </row>
    <row r="23" spans="1:9" ht="14.25">
      <c r="A23" s="215"/>
      <c r="B23" s="219"/>
      <c r="C23" s="215"/>
      <c r="D23" s="215"/>
      <c r="E23" s="201"/>
      <c r="F23" s="201"/>
      <c r="G23" s="201"/>
      <c r="H23" s="201"/>
      <c r="I23" s="201"/>
    </row>
    <row r="24" spans="1:9" ht="14.25">
      <c r="A24" s="215"/>
      <c r="B24" s="219"/>
      <c r="C24" s="215"/>
      <c r="D24" s="215"/>
      <c r="E24" s="201"/>
      <c r="F24" s="201"/>
      <c r="G24" s="201"/>
      <c r="H24" s="201"/>
      <c r="I24" s="201"/>
    </row>
    <row r="25" spans="1:9" ht="14.25">
      <c r="A25" s="215"/>
      <c r="B25" s="219"/>
      <c r="C25" s="215"/>
      <c r="D25" s="215"/>
      <c r="E25" s="201"/>
      <c r="F25" s="201"/>
      <c r="G25" s="201"/>
      <c r="H25" s="201"/>
      <c r="I25" s="201"/>
    </row>
    <row r="26" spans="1:9" ht="14.25">
      <c r="A26" s="215"/>
      <c r="B26" s="219"/>
      <c r="C26" s="215"/>
      <c r="D26" s="215"/>
      <c r="E26" s="201"/>
      <c r="F26" s="201"/>
      <c r="G26" s="201"/>
      <c r="H26" s="201"/>
      <c r="I26" s="201"/>
    </row>
    <row r="27" spans="1:9" ht="14.25">
      <c r="A27" s="215"/>
      <c r="B27" s="219"/>
      <c r="C27" s="215"/>
      <c r="D27" s="215"/>
      <c r="E27" s="201"/>
      <c r="F27" s="201"/>
      <c r="G27" s="201"/>
      <c r="H27" s="201"/>
      <c r="I27" s="201"/>
    </row>
    <row r="28" spans="1:9" ht="14.25">
      <c r="A28" s="215"/>
      <c r="B28" s="219"/>
      <c r="C28" s="215"/>
      <c r="D28" s="215"/>
      <c r="E28" s="201"/>
      <c r="F28" s="201"/>
      <c r="G28" s="201"/>
      <c r="H28" s="201"/>
      <c r="I28" s="201"/>
    </row>
    <row r="29" spans="1:9" ht="14.25">
      <c r="A29" s="215"/>
      <c r="B29" s="219"/>
      <c r="C29" s="215"/>
      <c r="D29" s="215"/>
      <c r="E29" s="205" t="s">
        <v>24</v>
      </c>
      <c r="F29" s="205"/>
      <c r="G29" s="205" t="str">
        <f>Input!L6</f>
        <v>ZHYKHARIEV, Dmytro</v>
      </c>
      <c r="H29" s="205"/>
      <c r="I29" s="201"/>
    </row>
    <row r="30" spans="1:9" ht="14.25">
      <c r="A30" s="215"/>
      <c r="B30" s="219"/>
      <c r="C30" s="215"/>
      <c r="D30" s="215"/>
      <c r="E30" s="201"/>
      <c r="F30" s="201"/>
      <c r="G30" s="201"/>
      <c r="H30" s="201"/>
      <c r="I30" s="201"/>
    </row>
    <row r="31" spans="1:9" ht="14.25">
      <c r="A31" s="215"/>
      <c r="B31" s="219"/>
      <c r="C31" s="215"/>
      <c r="D31" s="215"/>
      <c r="E31" s="201"/>
      <c r="F31" s="201"/>
      <c r="G31" s="201"/>
      <c r="H31" s="201"/>
      <c r="I31" s="201"/>
    </row>
    <row r="32" spans="1:9" ht="14.25">
      <c r="A32" s="215"/>
      <c r="B32" s="219"/>
      <c r="C32" s="215"/>
      <c r="D32" s="215"/>
      <c r="E32" s="201"/>
      <c r="F32" s="201"/>
      <c r="G32" s="201"/>
      <c r="H32" s="201"/>
      <c r="I32" s="201"/>
    </row>
    <row r="33" spans="1:9" ht="14.25">
      <c r="A33" s="215"/>
      <c r="B33" s="219"/>
      <c r="C33" s="215"/>
      <c r="D33" s="215"/>
      <c r="E33" s="201"/>
      <c r="F33" s="201"/>
      <c r="G33" s="201"/>
      <c r="H33" s="201"/>
      <c r="I33" s="201"/>
    </row>
    <row r="34" spans="1:9" ht="14.25">
      <c r="A34" s="201"/>
      <c r="B34" s="201"/>
      <c r="C34" s="201"/>
      <c r="D34" s="201"/>
      <c r="E34" s="201"/>
      <c r="F34" s="201"/>
      <c r="G34" s="201"/>
      <c r="H34" s="201"/>
      <c r="I34" s="201"/>
    </row>
    <row r="35" spans="1:9" ht="14.25">
      <c r="A35" s="201"/>
      <c r="B35" s="201"/>
      <c r="C35" s="201"/>
      <c r="D35" s="201"/>
      <c r="E35" s="201"/>
      <c r="F35" s="201"/>
      <c r="G35" s="201"/>
      <c r="H35" s="201"/>
      <c r="I35" s="201"/>
    </row>
    <row r="36" spans="1:9" ht="14.25">
      <c r="A36" s="201"/>
      <c r="B36" s="201"/>
      <c r="C36" s="201"/>
      <c r="D36" s="201"/>
      <c r="E36" s="201"/>
      <c r="F36" s="201"/>
      <c r="G36" s="201"/>
      <c r="H36" s="201"/>
      <c r="I36" s="201"/>
    </row>
    <row r="37" spans="1:9" ht="14.25">
      <c r="A37" s="201"/>
      <c r="B37" s="201"/>
      <c r="C37" s="201"/>
      <c r="D37" s="201"/>
      <c r="E37" s="201"/>
      <c r="F37" s="201"/>
      <c r="G37" s="201"/>
      <c r="H37" s="201"/>
      <c r="I37" s="201"/>
    </row>
    <row r="38" spans="1:9" ht="14.25">
      <c r="A38" s="201"/>
      <c r="B38" s="201"/>
      <c r="C38" s="201"/>
      <c r="D38" s="201"/>
      <c r="E38" s="201"/>
      <c r="F38" s="201"/>
      <c r="G38" s="201"/>
      <c r="H38" s="201"/>
      <c r="I38" s="201"/>
    </row>
    <row r="39" spans="1:9" ht="14.25">
      <c r="A39" s="201"/>
      <c r="B39" s="201"/>
      <c r="C39" s="201"/>
      <c r="D39" s="201"/>
    </row>
    <row r="40" spans="1:9" ht="14.25">
      <c r="A40" s="201"/>
      <c r="B40" s="201"/>
      <c r="C40" s="201"/>
      <c r="D40" s="201"/>
      <c r="E40" s="201"/>
      <c r="F40" s="201"/>
      <c r="G40" s="201"/>
      <c r="H40" s="201"/>
      <c r="I40" s="201"/>
    </row>
    <row r="41" spans="1:9" ht="14.25">
      <c r="A41" s="201"/>
      <c r="B41" s="201"/>
      <c r="C41" s="201"/>
      <c r="D41" s="201"/>
      <c r="E41" s="201"/>
      <c r="F41" s="201"/>
      <c r="G41" s="201"/>
      <c r="H41" s="201"/>
      <c r="I41" s="201"/>
    </row>
    <row r="42" spans="1:9" ht="14.25">
      <c r="A42" s="201"/>
      <c r="B42" s="201"/>
      <c r="C42" s="201"/>
      <c r="D42" s="201"/>
      <c r="E42" s="201"/>
      <c r="F42" s="201"/>
      <c r="G42" s="201"/>
      <c r="H42" s="201"/>
      <c r="I42" s="201"/>
    </row>
  </sheetData>
  <mergeCells count="1">
    <mergeCell ref="A3:H3"/>
  </mergeCells>
  <pageMargins left="0.75" right="0.75" top="1" bottom="1" header="0.511811023622047" footer="0.511811023622047"/>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M83"/>
  <sheetViews>
    <sheetView showGridLines="0" view="pageBreakPreview" workbookViewId="0">
      <selection activeCell="M23" sqref="M23"/>
    </sheetView>
  </sheetViews>
  <sheetFormatPr defaultColWidth="8.7109375" defaultRowHeight="12.75"/>
  <cols>
    <col min="1" max="1" width="1.7109375" customWidth="1"/>
    <col min="2" max="2" width="13.140625" customWidth="1"/>
    <col min="3" max="3" width="13" customWidth="1"/>
    <col min="4" max="4" width="11.5703125" customWidth="1"/>
    <col min="5" max="5" width="14.7109375" customWidth="1"/>
    <col min="6" max="6" width="13.42578125" customWidth="1"/>
    <col min="7" max="7" width="16.28515625" customWidth="1"/>
    <col min="8" max="8" width="14.5703125" customWidth="1"/>
    <col min="9" max="9" width="11.5703125" customWidth="1"/>
    <col min="10" max="10" width="5.140625" customWidth="1"/>
    <col min="11" max="11" width="1.28515625" customWidth="1"/>
    <col min="12" max="12" width="13.7109375" style="9" customWidth="1"/>
    <col min="13" max="13" width="6.85546875" style="9" customWidth="1"/>
  </cols>
  <sheetData>
    <row r="1" spans="1:13" ht="27" customHeight="1">
      <c r="A1" s="852" t="s">
        <v>532</v>
      </c>
      <c r="B1" s="852"/>
      <c r="C1" s="852"/>
      <c r="D1" s="852"/>
      <c r="E1" s="852"/>
      <c r="F1" s="852"/>
      <c r="G1" s="852"/>
      <c r="H1" s="852"/>
      <c r="I1" s="852"/>
      <c r="J1" s="852"/>
    </row>
    <row r="2" spans="1:13">
      <c r="A2" s="295"/>
      <c r="J2" s="296"/>
    </row>
    <row r="3" spans="1:13">
      <c r="A3" s="295"/>
      <c r="J3" s="296"/>
    </row>
    <row r="4" spans="1:13">
      <c r="A4" s="295"/>
      <c r="B4" s="297" t="s">
        <v>533</v>
      </c>
      <c r="C4" s="853" t="s">
        <v>900</v>
      </c>
      <c r="D4" s="853"/>
      <c r="E4" s="298"/>
      <c r="F4" s="297" t="s">
        <v>534</v>
      </c>
      <c r="G4" s="299">
        <f>Input!D8</f>
        <v>46167</v>
      </c>
      <c r="H4" s="297" t="s">
        <v>535</v>
      </c>
      <c r="I4" s="300"/>
      <c r="J4" s="301"/>
      <c r="L4" s="302" t="s">
        <v>536</v>
      </c>
      <c r="M4" s="7"/>
    </row>
    <row r="5" spans="1:13" ht="13.5">
      <c r="A5" s="295"/>
      <c r="B5" s="297" t="s">
        <v>537</v>
      </c>
      <c r="C5" s="854" t="str">
        <f>Input!D2</f>
        <v>HANNA</v>
      </c>
      <c r="D5" s="854"/>
      <c r="E5" s="298"/>
      <c r="F5" s="297" t="s">
        <v>538</v>
      </c>
      <c r="G5" s="303" t="str">
        <f>Input!D14</f>
        <v>Alger</v>
      </c>
      <c r="H5" s="297" t="s">
        <v>539</v>
      </c>
      <c r="I5" s="304" t="str">
        <f>Input!D16</f>
        <v>La Spezia</v>
      </c>
      <c r="J5" s="301"/>
      <c r="L5" s="7"/>
      <c r="M5" s="7"/>
    </row>
    <row r="6" spans="1:13">
      <c r="A6" s="295"/>
      <c r="B6" s="297" t="s">
        <v>20</v>
      </c>
      <c r="C6" s="854" t="str">
        <f>Input!D4</f>
        <v>Cyprus</v>
      </c>
      <c r="D6" s="854"/>
      <c r="E6" s="298"/>
      <c r="F6" s="297" t="s">
        <v>540</v>
      </c>
      <c r="G6" s="305" t="str">
        <f>Input!$L$6</f>
        <v>ZHYKHARIEV, Dmytro</v>
      </c>
      <c r="H6" s="276"/>
      <c r="I6" s="306"/>
      <c r="J6" s="307"/>
      <c r="L6" s="7"/>
      <c r="M6" s="7"/>
    </row>
    <row r="7" spans="1:13">
      <c r="A7" s="295"/>
      <c r="B7" s="297" t="s">
        <v>541</v>
      </c>
      <c r="C7" s="298"/>
      <c r="D7" s="308">
        <v>6006</v>
      </c>
      <c r="E7" s="298"/>
      <c r="F7" s="309" t="s">
        <v>542</v>
      </c>
      <c r="G7" s="299" t="s">
        <v>543</v>
      </c>
      <c r="H7" s="276"/>
      <c r="J7" s="296"/>
      <c r="L7" s="302" t="s">
        <v>544</v>
      </c>
      <c r="M7" s="7"/>
    </row>
    <row r="8" spans="1:13">
      <c r="A8" s="295"/>
      <c r="B8" s="297"/>
      <c r="C8" s="298"/>
      <c r="D8" s="298"/>
      <c r="E8" s="298"/>
      <c r="F8" s="297"/>
      <c r="G8" s="9"/>
      <c r="H8" s="297"/>
      <c r="J8" s="296"/>
      <c r="L8" s="7"/>
      <c r="M8" s="7"/>
    </row>
    <row r="9" spans="1:13">
      <c r="A9" s="295"/>
      <c r="B9" s="297" t="s">
        <v>545</v>
      </c>
      <c r="C9" s="297"/>
      <c r="D9" s="297" t="s">
        <v>546</v>
      </c>
      <c r="E9" s="310" t="s">
        <v>914</v>
      </c>
      <c r="F9" s="297" t="s">
        <v>547</v>
      </c>
      <c r="G9" s="375">
        <v>46021</v>
      </c>
      <c r="H9" s="298"/>
      <c r="I9" s="311"/>
      <c r="J9" s="301"/>
      <c r="L9" s="7"/>
      <c r="M9" s="7"/>
    </row>
    <row r="10" spans="1:13">
      <c r="A10" s="295"/>
      <c r="B10" s="297"/>
      <c r="E10" s="297"/>
      <c r="F10" s="297"/>
      <c r="G10" s="312"/>
      <c r="H10" s="297"/>
      <c r="J10" s="296"/>
      <c r="L10" s="7"/>
      <c r="M10" s="7"/>
    </row>
    <row r="11" spans="1:13">
      <c r="A11" s="295"/>
      <c r="E11" s="297"/>
      <c r="F11" s="297" t="s">
        <v>548</v>
      </c>
      <c r="G11" s="313" t="s">
        <v>935</v>
      </c>
      <c r="H11" s="314"/>
      <c r="I11" s="297"/>
      <c r="J11" s="307"/>
      <c r="L11" s="7"/>
      <c r="M11" s="7"/>
    </row>
    <row r="12" spans="1:13">
      <c r="A12" s="295"/>
      <c r="B12" s="297"/>
      <c r="C12" s="297"/>
      <c r="D12" s="297"/>
      <c r="E12" s="297"/>
      <c r="F12" s="297"/>
      <c r="G12" s="297"/>
      <c r="H12" s="297"/>
      <c r="J12" s="296"/>
      <c r="L12" s="7"/>
      <c r="M12" s="7"/>
    </row>
    <row r="13" spans="1:13" ht="13.5" customHeight="1">
      <c r="A13" s="295"/>
      <c r="B13" s="297"/>
      <c r="C13" s="297" t="s">
        <v>549</v>
      </c>
      <c r="D13" s="315" t="s">
        <v>550</v>
      </c>
      <c r="E13" s="297"/>
      <c r="F13" s="297" t="s">
        <v>551</v>
      </c>
      <c r="G13" s="308">
        <v>13</v>
      </c>
      <c r="H13" s="298"/>
      <c r="I13" s="298"/>
      <c r="J13" s="301"/>
    </row>
    <row r="14" spans="1:13" ht="13.5" customHeight="1">
      <c r="A14" s="295"/>
      <c r="B14" s="297" t="s">
        <v>552</v>
      </c>
      <c r="C14" s="297" t="s">
        <v>553</v>
      </c>
      <c r="D14" s="316" t="s">
        <v>550</v>
      </c>
      <c r="E14" s="297"/>
      <c r="F14" s="297"/>
      <c r="G14" s="297"/>
      <c r="H14" s="297"/>
      <c r="J14" s="296"/>
      <c r="L14" s="302" t="s">
        <v>554</v>
      </c>
    </row>
    <row r="15" spans="1:13" ht="13.5" customHeight="1">
      <c r="A15" s="295"/>
      <c r="B15" s="297" t="s">
        <v>555</v>
      </c>
      <c r="C15" s="297" t="s">
        <v>556</v>
      </c>
      <c r="D15" s="315" t="s">
        <v>550</v>
      </c>
      <c r="E15" s="297"/>
      <c r="F15" s="297"/>
      <c r="G15" s="297"/>
      <c r="H15" s="297"/>
      <c r="J15" s="296"/>
    </row>
    <row r="16" spans="1:13" ht="13.5" customHeight="1">
      <c r="A16" s="295"/>
      <c r="B16" s="297"/>
      <c r="C16" s="297" t="s">
        <v>557</v>
      </c>
      <c r="D16" s="315" t="s">
        <v>550</v>
      </c>
      <c r="E16" s="297"/>
      <c r="F16" s="297"/>
      <c r="G16" s="297"/>
      <c r="H16" s="297"/>
      <c r="J16" s="296"/>
    </row>
    <row r="17" spans="1:10">
      <c r="A17" s="295"/>
      <c r="B17" s="297" t="s">
        <v>558</v>
      </c>
      <c r="C17" s="297"/>
      <c r="D17" s="297"/>
      <c r="E17" s="297"/>
      <c r="F17" s="297"/>
      <c r="G17" s="317" t="s">
        <v>559</v>
      </c>
      <c r="H17" s="317" t="s">
        <v>560</v>
      </c>
      <c r="I17" s="317"/>
      <c r="J17" s="296"/>
    </row>
    <row r="18" spans="1:10">
      <c r="A18" s="295"/>
      <c r="B18" s="318"/>
      <c r="C18" s="317"/>
      <c r="D18" s="317"/>
      <c r="E18" s="317"/>
      <c r="F18" s="298"/>
      <c r="G18" s="317"/>
      <c r="H18" s="317"/>
      <c r="I18" s="317"/>
      <c r="J18" s="301"/>
    </row>
    <row r="19" spans="1:10" ht="13.5">
      <c r="A19" s="295"/>
      <c r="B19" s="319">
        <v>1</v>
      </c>
      <c r="C19" s="305" t="str">
        <f>'ISPS (POC Company Form)'!C13</f>
        <v>ALGER</v>
      </c>
      <c r="D19" s="379"/>
      <c r="E19" s="380"/>
      <c r="F19" s="321"/>
      <c r="G19" s="376">
        <f>'ISPS (POC Company Form)'!H13</f>
        <v>46166</v>
      </c>
      <c r="H19" s="322" t="str">
        <f>'ISPS (POC Company Form)'!E13</f>
        <v>DZALG</v>
      </c>
      <c r="I19" s="322"/>
      <c r="J19" s="301"/>
    </row>
    <row r="20" spans="1:10">
      <c r="A20" s="295"/>
      <c r="B20" s="323">
        <v>2</v>
      </c>
      <c r="C20" s="305" t="str">
        <f>'ISPS (POC Company Form)'!C14</f>
        <v>MARSEILLE</v>
      </c>
      <c r="D20" s="327"/>
      <c r="E20" s="324"/>
      <c r="F20" s="326"/>
      <c r="G20" s="376">
        <f>'ISPS (POC Company Form)'!H14</f>
        <v>46154</v>
      </c>
      <c r="H20" s="322" t="str">
        <f>'ISPS (POC Company Form)'!E14</f>
        <v>FRMRS</v>
      </c>
      <c r="I20" s="322"/>
      <c r="J20" s="301"/>
    </row>
    <row r="21" spans="1:10">
      <c r="A21" s="295"/>
      <c r="B21" s="319">
        <v>3</v>
      </c>
      <c r="C21" s="305" t="str">
        <f>'ISPS (POC Company Form)'!C15</f>
        <v>LA SPEZIA</v>
      </c>
      <c r="D21" s="328"/>
      <c r="E21" s="324"/>
      <c r="F21" s="326"/>
      <c r="G21" s="376">
        <f>'ISPS (POC Company Form)'!H15</f>
        <v>46152</v>
      </c>
      <c r="H21" s="322" t="str">
        <f>'ISPS (POC Company Form)'!E15</f>
        <v>ITSPE</v>
      </c>
      <c r="I21" s="322"/>
      <c r="J21" s="301"/>
    </row>
    <row r="22" spans="1:10">
      <c r="A22" s="295"/>
      <c r="B22" s="323">
        <v>4</v>
      </c>
      <c r="C22" s="305" t="str">
        <f>'ISPS (POC Company Form)'!C16</f>
        <v>GENOA</v>
      </c>
      <c r="D22" s="328"/>
      <c r="E22" s="324"/>
      <c r="F22" s="326"/>
      <c r="G22" s="376">
        <f>'ISPS (POC Company Form)'!H16</f>
        <v>46151</v>
      </c>
      <c r="H22" s="322" t="str">
        <f>'ISPS (POC Company Form)'!E16</f>
        <v>ITGOA</v>
      </c>
      <c r="I22" s="322"/>
      <c r="J22" s="301"/>
    </row>
    <row r="23" spans="1:10" ht="13.5">
      <c r="A23" s="295"/>
      <c r="B23" s="319">
        <v>5</v>
      </c>
      <c r="C23" s="305" t="str">
        <f>'ISPS (POC Company Form)'!C17</f>
        <v>SALERNO</v>
      </c>
      <c r="D23" s="325"/>
      <c r="E23" s="324"/>
      <c r="F23" s="326"/>
      <c r="G23" s="376">
        <f>'ISPS (POC Company Form)'!H17</f>
        <v>46149</v>
      </c>
      <c r="H23" s="322" t="str">
        <f>'ISPS (POC Company Form)'!E17</f>
        <v>ITSAL</v>
      </c>
      <c r="I23" s="322"/>
      <c r="J23" s="301"/>
    </row>
    <row r="24" spans="1:10">
      <c r="A24" s="295"/>
      <c r="B24" s="323">
        <v>6</v>
      </c>
      <c r="C24" s="305" t="str">
        <f>'ISPS (POC Company Form)'!C18</f>
        <v>NAPOLI</v>
      </c>
      <c r="D24" s="328"/>
      <c r="E24" s="324"/>
      <c r="F24" s="326"/>
      <c r="G24" s="376">
        <f>'ISPS (POC Company Form)'!H18</f>
        <v>46144</v>
      </c>
      <c r="H24" s="322" t="str">
        <f>'ISPS (POC Company Form)'!E18</f>
        <v>ITNAP</v>
      </c>
      <c r="I24" s="322"/>
      <c r="J24" s="301"/>
    </row>
    <row r="25" spans="1:10">
      <c r="A25" s="295"/>
      <c r="B25" s="319">
        <v>7</v>
      </c>
      <c r="C25" s="305" t="str">
        <f>'ISPS (POC Company Form)'!C19</f>
        <v>ALGER</v>
      </c>
      <c r="D25" s="328"/>
      <c r="E25" s="324"/>
      <c r="F25" s="326"/>
      <c r="G25" s="376">
        <f>'ISPS (POC Company Form)'!H19</f>
        <v>46140</v>
      </c>
      <c r="H25" s="322" t="str">
        <f>'ISPS (POC Company Form)'!E19</f>
        <v>DZALG</v>
      </c>
      <c r="I25" s="322"/>
      <c r="J25" s="301"/>
    </row>
    <row r="26" spans="1:10">
      <c r="A26" s="295"/>
      <c r="B26" s="319">
        <v>8</v>
      </c>
      <c r="C26" s="305" t="str">
        <f>'ISPS (POC Company Form)'!C20</f>
        <v>MARSEILLE</v>
      </c>
      <c r="D26" s="328"/>
      <c r="E26" s="324"/>
      <c r="F26" s="326"/>
      <c r="G26" s="376">
        <f>'ISPS (POC Company Form)'!H20</f>
        <v>46133</v>
      </c>
      <c r="H26" s="322" t="str">
        <f>'ISPS (POC Company Form)'!E20</f>
        <v>FRMRS</v>
      </c>
      <c r="I26" s="322"/>
      <c r="J26" s="301"/>
    </row>
    <row r="27" spans="1:10" ht="15">
      <c r="A27" s="295"/>
      <c r="B27" s="329">
        <v>9</v>
      </c>
      <c r="C27" s="305" t="str">
        <f>'ISPS (POC Company Form)'!C21</f>
        <v>GENOA</v>
      </c>
      <c r="D27" s="325"/>
      <c r="E27" s="324"/>
      <c r="F27" s="326"/>
      <c r="G27" s="376">
        <f>'ISPS (POC Company Form)'!H21</f>
        <v>46129</v>
      </c>
      <c r="H27" s="322" t="str">
        <f>'ISPS (POC Company Form)'!E21</f>
        <v>ITGOA</v>
      </c>
      <c r="I27" s="322"/>
      <c r="J27" s="301"/>
    </row>
    <row r="28" spans="1:10" ht="15">
      <c r="A28" s="295"/>
      <c r="B28" s="329">
        <v>10</v>
      </c>
      <c r="C28" s="305" t="str">
        <f>'ISPS (POC Company Form)'!C22</f>
        <v>LA SPEZIA</v>
      </c>
      <c r="D28" s="325"/>
      <c r="E28" s="324"/>
      <c r="F28" s="326"/>
      <c r="G28" s="376">
        <f>'ISPS (POC Company Form)'!H22</f>
        <v>46129</v>
      </c>
      <c r="H28" s="322" t="str">
        <f>'ISPS (POC Company Form)'!E22</f>
        <v>ITSPE</v>
      </c>
      <c r="I28" s="322"/>
      <c r="J28" s="301"/>
    </row>
    <row r="29" spans="1:10" ht="15">
      <c r="A29" s="295"/>
      <c r="B29" s="330"/>
      <c r="C29" s="331"/>
      <c r="D29" s="332"/>
      <c r="E29" s="331"/>
      <c r="F29" s="333"/>
      <c r="G29" s="320"/>
      <c r="H29" s="334"/>
      <c r="I29" s="320"/>
      <c r="J29" s="296"/>
    </row>
    <row r="30" spans="1:10">
      <c r="A30" s="295"/>
      <c r="E30" s="335" t="s">
        <v>561</v>
      </c>
      <c r="F30" s="297"/>
      <c r="G30" s="297"/>
      <c r="H30" s="297"/>
      <c r="I30" s="230"/>
      <c r="J30" s="336"/>
    </row>
    <row r="31" spans="1:10">
      <c r="A31" s="295"/>
      <c r="B31" s="297" t="s">
        <v>562</v>
      </c>
      <c r="C31" s="297"/>
      <c r="D31" s="297"/>
      <c r="E31" s="297"/>
      <c r="F31" s="297"/>
      <c r="G31" s="297"/>
      <c r="H31" s="308"/>
      <c r="I31" s="308" t="s">
        <v>563</v>
      </c>
      <c r="J31" s="337"/>
    </row>
    <row r="32" spans="1:10">
      <c r="A32" s="295"/>
      <c r="B32" s="297" t="s">
        <v>564</v>
      </c>
      <c r="C32" s="297"/>
      <c r="D32" s="297"/>
      <c r="E32" s="297"/>
      <c r="F32" s="297"/>
      <c r="G32" s="297"/>
      <c r="H32" s="317"/>
      <c r="I32" s="317"/>
      <c r="J32" s="338"/>
    </row>
    <row r="33" spans="1:10">
      <c r="A33" s="295"/>
      <c r="B33" s="297"/>
      <c r="C33" s="297"/>
      <c r="D33" s="297"/>
      <c r="E33" s="297"/>
      <c r="F33" s="297"/>
      <c r="G33" s="297"/>
      <c r="H33" s="317"/>
      <c r="I33" s="317"/>
      <c r="J33" s="338"/>
    </row>
    <row r="34" spans="1:10">
      <c r="A34" s="295"/>
      <c r="B34" s="297" t="s">
        <v>565</v>
      </c>
      <c r="C34" s="297"/>
      <c r="D34" s="297"/>
      <c r="E34" s="297"/>
      <c r="F34" s="297"/>
      <c r="G34" s="297"/>
      <c r="H34" s="308"/>
      <c r="I34" s="308" t="s">
        <v>563</v>
      </c>
      <c r="J34" s="338"/>
    </row>
    <row r="35" spans="1:10">
      <c r="A35" s="295"/>
      <c r="B35" s="297" t="s">
        <v>566</v>
      </c>
      <c r="C35" s="297"/>
      <c r="D35" s="297"/>
      <c r="E35" s="297"/>
      <c r="F35" s="297"/>
      <c r="G35" s="297"/>
      <c r="H35" s="317"/>
      <c r="I35" s="317"/>
      <c r="J35" s="338"/>
    </row>
    <row r="36" spans="1:10">
      <c r="A36" s="295"/>
      <c r="B36" s="297"/>
      <c r="C36" s="297"/>
      <c r="D36" s="297"/>
      <c r="E36" s="297"/>
      <c r="F36" s="297"/>
      <c r="G36" s="297"/>
      <c r="H36" s="317"/>
      <c r="I36" s="317"/>
      <c r="J36" s="338"/>
    </row>
    <row r="37" spans="1:10">
      <c r="A37" s="295"/>
      <c r="B37" s="297" t="s">
        <v>567</v>
      </c>
      <c r="C37" s="297"/>
      <c r="D37" s="297"/>
      <c r="E37" s="297"/>
      <c r="F37" s="297"/>
      <c r="G37" s="297"/>
      <c r="H37" s="308"/>
      <c r="I37" s="308" t="s">
        <v>563</v>
      </c>
      <c r="J37" s="338"/>
    </row>
    <row r="38" spans="1:10">
      <c r="A38" s="295"/>
      <c r="B38" s="297" t="s">
        <v>568</v>
      </c>
      <c r="C38" s="297"/>
      <c r="D38" s="297"/>
      <c r="E38" s="297"/>
      <c r="F38" s="297"/>
      <c r="G38" s="297"/>
      <c r="H38" s="317"/>
      <c r="I38" s="317"/>
      <c r="J38" s="338"/>
    </row>
    <row r="39" spans="1:10">
      <c r="A39" s="295"/>
      <c r="B39" s="297"/>
      <c r="C39" s="297"/>
      <c r="D39" s="297"/>
      <c r="E39" s="297"/>
      <c r="F39" s="297"/>
      <c r="G39" s="297"/>
      <c r="H39" s="317"/>
      <c r="I39" s="317"/>
      <c r="J39" s="338"/>
    </row>
    <row r="40" spans="1:10">
      <c r="A40" s="295"/>
      <c r="B40" s="297" t="s">
        <v>569</v>
      </c>
      <c r="C40" s="297"/>
      <c r="D40" s="297"/>
      <c r="E40" s="297"/>
      <c r="F40" s="297"/>
      <c r="G40" s="297"/>
      <c r="H40" s="308"/>
      <c r="I40" s="308" t="s">
        <v>563</v>
      </c>
      <c r="J40" s="338"/>
    </row>
    <row r="41" spans="1:10">
      <c r="A41" s="295"/>
      <c r="B41" s="297" t="s">
        <v>570</v>
      </c>
      <c r="C41" s="297"/>
      <c r="D41" s="297"/>
      <c r="E41" s="297"/>
      <c r="F41" s="297"/>
      <c r="G41" s="297"/>
      <c r="H41" s="317"/>
      <c r="I41" s="317"/>
      <c r="J41" s="338"/>
    </row>
    <row r="42" spans="1:10">
      <c r="A42" s="295"/>
      <c r="B42" s="297"/>
      <c r="C42" s="297"/>
      <c r="D42" s="297"/>
      <c r="E42" s="297"/>
      <c r="F42" s="297"/>
      <c r="G42" s="297"/>
      <c r="H42" s="308"/>
      <c r="I42" s="308" t="s">
        <v>563</v>
      </c>
      <c r="J42" s="338"/>
    </row>
    <row r="43" spans="1:10">
      <c r="A43" s="295"/>
      <c r="B43" s="297" t="s">
        <v>571</v>
      </c>
      <c r="C43" s="297"/>
      <c r="D43" s="297"/>
      <c r="E43" s="297"/>
      <c r="F43" s="297"/>
      <c r="G43" s="297"/>
      <c r="H43" s="317"/>
      <c r="I43" s="317"/>
      <c r="J43" s="338"/>
    </row>
    <row r="44" spans="1:10">
      <c r="A44" s="295"/>
      <c r="B44" s="297"/>
      <c r="C44" s="297"/>
      <c r="D44" s="297"/>
      <c r="E44" s="297"/>
      <c r="F44" s="297"/>
      <c r="G44" s="297"/>
      <c r="H44" s="317"/>
      <c r="I44" s="317"/>
      <c r="J44" s="338"/>
    </row>
    <row r="45" spans="1:10">
      <c r="A45" s="295"/>
      <c r="B45" s="297" t="s">
        <v>572</v>
      </c>
      <c r="C45" s="297" t="s">
        <v>573</v>
      </c>
      <c r="D45" s="297"/>
      <c r="E45" s="297"/>
      <c r="F45" s="297"/>
      <c r="G45" s="297"/>
      <c r="H45" s="317"/>
      <c r="I45" s="317"/>
      <c r="J45" s="338"/>
    </row>
    <row r="46" spans="1:10">
      <c r="A46" s="295"/>
      <c r="B46" s="297"/>
      <c r="C46" s="297" t="s">
        <v>574</v>
      </c>
      <c r="D46" s="297"/>
      <c r="E46" s="297"/>
      <c r="F46" s="297"/>
      <c r="G46" s="297"/>
      <c r="H46" s="317"/>
      <c r="I46" s="317"/>
      <c r="J46" s="338"/>
    </row>
    <row r="47" spans="1:10">
      <c r="A47" s="295"/>
      <c r="B47" s="297"/>
      <c r="C47" s="297" t="s">
        <v>575</v>
      </c>
      <c r="D47" s="297"/>
      <c r="E47" s="297"/>
      <c r="F47" s="297"/>
      <c r="G47" s="297"/>
      <c r="H47" s="317"/>
      <c r="I47" s="317"/>
      <c r="J47" s="338"/>
    </row>
    <row r="48" spans="1:10">
      <c r="A48" s="295"/>
      <c r="B48" s="297"/>
      <c r="C48" s="297" t="s">
        <v>576</v>
      </c>
      <c r="D48" s="297"/>
      <c r="E48" s="297"/>
      <c r="F48" s="297"/>
      <c r="G48" s="297"/>
      <c r="H48" s="317"/>
      <c r="I48" s="317"/>
      <c r="J48" s="338"/>
    </row>
    <row r="49" spans="1:12">
      <c r="A49" s="295"/>
      <c r="B49" s="297"/>
      <c r="C49" s="297" t="s">
        <v>577</v>
      </c>
      <c r="D49" s="297"/>
      <c r="E49" s="297"/>
      <c r="F49" s="297"/>
      <c r="G49" s="297"/>
      <c r="H49" s="317"/>
      <c r="I49" s="317"/>
      <c r="J49" s="338"/>
    </row>
    <row r="50" spans="1:12">
      <c r="A50" s="295"/>
      <c r="B50" s="297"/>
      <c r="C50" s="297"/>
      <c r="D50" s="297"/>
      <c r="E50" s="297"/>
      <c r="F50" s="297"/>
      <c r="G50" s="297"/>
      <c r="H50" s="308"/>
      <c r="I50" s="308" t="s">
        <v>563</v>
      </c>
      <c r="J50" s="338"/>
    </row>
    <row r="51" spans="1:12">
      <c r="A51" s="295"/>
      <c r="B51" s="297" t="s">
        <v>578</v>
      </c>
      <c r="C51" s="297"/>
      <c r="D51" s="297"/>
      <c r="E51" s="297"/>
      <c r="F51" s="297"/>
      <c r="G51" s="297"/>
      <c r="H51" s="317"/>
      <c r="I51" s="317"/>
      <c r="J51" s="338"/>
    </row>
    <row r="52" spans="1:12">
      <c r="A52" s="295"/>
      <c r="B52" s="297" t="s">
        <v>579</v>
      </c>
      <c r="C52" s="297"/>
      <c r="D52" s="297"/>
      <c r="E52" s="297"/>
      <c r="F52" s="297"/>
      <c r="G52" s="297"/>
      <c r="H52" s="317"/>
      <c r="I52" s="317"/>
      <c r="J52" s="338"/>
    </row>
    <row r="53" spans="1:12">
      <c r="A53" s="295"/>
      <c r="B53" s="297"/>
      <c r="C53" s="297"/>
      <c r="D53" s="297"/>
      <c r="E53" s="297"/>
      <c r="F53" s="297"/>
      <c r="G53" s="297"/>
      <c r="H53" s="308"/>
      <c r="I53" s="308" t="s">
        <v>563</v>
      </c>
      <c r="J53" s="338"/>
    </row>
    <row r="54" spans="1:12">
      <c r="A54" s="295"/>
      <c r="B54" s="297" t="s">
        <v>580</v>
      </c>
      <c r="C54" s="297"/>
      <c r="D54" s="297"/>
      <c r="E54" s="297"/>
      <c r="F54" s="297"/>
      <c r="G54" s="297"/>
      <c r="H54" s="297"/>
      <c r="I54" s="230"/>
      <c r="J54" s="338"/>
    </row>
    <row r="55" spans="1:12">
      <c r="A55" s="295"/>
      <c r="B55" s="297" t="s">
        <v>581</v>
      </c>
      <c r="C55" s="297"/>
      <c r="D55" s="297"/>
      <c r="E55" s="297"/>
      <c r="F55" s="297"/>
      <c r="G55" s="297"/>
      <c r="H55" s="297"/>
      <c r="J55" s="337"/>
    </row>
    <row r="56" spans="1:12">
      <c r="A56" s="295"/>
      <c r="B56" s="297"/>
      <c r="C56" s="297"/>
      <c r="D56" s="297"/>
      <c r="E56" s="297"/>
      <c r="F56" s="297"/>
      <c r="G56" s="297"/>
      <c r="H56" s="297"/>
      <c r="J56" s="337"/>
    </row>
    <row r="57" spans="1:12" ht="8.25" customHeight="1">
      <c r="A57" s="295"/>
      <c r="B57" s="297"/>
      <c r="C57" s="297"/>
      <c r="D57" s="297"/>
      <c r="E57" s="297"/>
      <c r="F57" s="297"/>
      <c r="G57" s="297"/>
      <c r="H57" s="297"/>
      <c r="J57" s="307"/>
    </row>
    <row r="58" spans="1:12">
      <c r="A58" s="295"/>
      <c r="B58" s="297"/>
      <c r="C58" s="297"/>
      <c r="D58" s="297"/>
      <c r="E58" s="297"/>
      <c r="F58" s="297" t="s">
        <v>582</v>
      </c>
      <c r="G58" s="297" t="s">
        <v>24</v>
      </c>
      <c r="H58" s="339" t="str">
        <f>Input!$L$6</f>
        <v>ZHYKHARIEV, Dmytro</v>
      </c>
      <c r="I58" s="340"/>
      <c r="J58" s="296"/>
    </row>
    <row r="59" spans="1:12" ht="13.5">
      <c r="A59" s="295"/>
      <c r="B59" s="297" t="s">
        <v>583</v>
      </c>
      <c r="C59" s="855">
        <f>Input!D6</f>
        <v>9376048</v>
      </c>
      <c r="D59" s="855"/>
      <c r="E59" s="297"/>
      <c r="F59" s="297"/>
      <c r="G59" s="297"/>
      <c r="H59" s="297"/>
      <c r="I59" s="341"/>
      <c r="J59" s="296"/>
    </row>
    <row r="60" spans="1:12" ht="18" customHeight="1">
      <c r="A60" s="295"/>
      <c r="B60" s="297" t="s">
        <v>584</v>
      </c>
      <c r="C60" s="847" t="s">
        <v>543</v>
      </c>
      <c r="D60" s="847"/>
      <c r="E60" s="847"/>
      <c r="F60" s="297"/>
      <c r="H60" s="342"/>
      <c r="I60" s="343" t="s">
        <v>585</v>
      </c>
      <c r="J60" s="307"/>
      <c r="L60" s="302" t="s">
        <v>544</v>
      </c>
    </row>
    <row r="61" spans="1:12">
      <c r="A61" s="295"/>
      <c r="B61" s="297" t="s">
        <v>586</v>
      </c>
      <c r="C61" s="848"/>
      <c r="D61" s="848"/>
      <c r="E61" s="848"/>
      <c r="F61" s="297" t="s">
        <v>587</v>
      </c>
      <c r="G61" s="297" t="s">
        <v>588</v>
      </c>
      <c r="H61" s="297"/>
      <c r="J61" s="296"/>
      <c r="L61" s="9" t="s">
        <v>483</v>
      </c>
    </row>
    <row r="62" spans="1:12">
      <c r="A62" s="295"/>
      <c r="C62" s="344"/>
      <c r="D62" s="8"/>
      <c r="J62" s="296"/>
      <c r="L62" s="9" t="s">
        <v>589</v>
      </c>
    </row>
    <row r="63" spans="1:12">
      <c r="L63" s="9" t="s">
        <v>590</v>
      </c>
    </row>
    <row r="65" spans="1:12">
      <c r="L65" s="9" t="s">
        <v>591</v>
      </c>
    </row>
    <row r="72" spans="1:12" ht="52.5" customHeight="1">
      <c r="A72" s="849" t="s">
        <v>592</v>
      </c>
      <c r="B72" s="345" t="s">
        <v>593</v>
      </c>
      <c r="C72" s="346"/>
      <c r="D72" s="347"/>
      <c r="E72" s="347"/>
      <c r="F72" s="347"/>
      <c r="G72" s="347"/>
      <c r="H72" s="348"/>
      <c r="I72" s="349"/>
      <c r="J72" s="850" t="s">
        <v>594</v>
      </c>
      <c r="K72" s="851"/>
      <c r="L72" s="349"/>
    </row>
    <row r="73" spans="1:12" ht="125.25" customHeight="1">
      <c r="A73" s="849"/>
      <c r="B73" s="350" t="s">
        <v>595</v>
      </c>
      <c r="C73" s="351"/>
      <c r="D73" s="347"/>
      <c r="E73" s="347"/>
      <c r="F73" s="347"/>
      <c r="G73" s="347"/>
      <c r="H73" s="348"/>
      <c r="I73" s="349"/>
      <c r="J73" s="850"/>
      <c r="K73" s="851"/>
      <c r="L73" s="349"/>
    </row>
    <row r="74" spans="1:12" ht="54.75" customHeight="1">
      <c r="A74" s="849"/>
      <c r="B74" s="350" t="s">
        <v>596</v>
      </c>
      <c r="C74" s="346"/>
      <c r="D74" s="347"/>
      <c r="E74" s="347"/>
      <c r="F74" s="347"/>
      <c r="G74" s="347"/>
      <c r="H74" s="348"/>
      <c r="I74" s="349"/>
      <c r="J74" s="850"/>
      <c r="K74" s="851"/>
      <c r="L74" s="349"/>
    </row>
    <row r="75" spans="1:12" ht="58.5" customHeight="1">
      <c r="A75" s="849"/>
      <c r="B75" s="350" t="s">
        <v>597</v>
      </c>
      <c r="C75" s="351"/>
      <c r="D75" s="347"/>
      <c r="E75" s="347"/>
      <c r="F75" s="347"/>
      <c r="G75" s="347"/>
      <c r="H75" s="348"/>
      <c r="I75" s="349"/>
      <c r="J75" s="850"/>
      <c r="K75" s="851"/>
      <c r="L75" s="349"/>
    </row>
    <row r="76" spans="1:12" ht="67.5" customHeight="1">
      <c r="A76" s="849"/>
      <c r="B76" s="350" t="s">
        <v>598</v>
      </c>
      <c r="C76" s="346"/>
      <c r="D76" s="347"/>
      <c r="E76" s="347"/>
      <c r="F76" s="347"/>
      <c r="G76" s="347"/>
      <c r="H76" s="348"/>
      <c r="I76" s="349"/>
      <c r="J76" s="850"/>
      <c r="K76" s="851"/>
      <c r="L76" s="349"/>
    </row>
    <row r="77" spans="1:12" ht="60.75" customHeight="1">
      <c r="A77" s="849"/>
      <c r="B77" s="345" t="s">
        <v>599</v>
      </c>
      <c r="C77" s="346"/>
      <c r="D77" s="347"/>
      <c r="E77" s="347"/>
      <c r="F77" s="347"/>
      <c r="G77" s="347"/>
      <c r="H77" s="348"/>
      <c r="I77" s="349"/>
      <c r="J77" s="850"/>
      <c r="K77" s="851"/>
      <c r="L77" s="349"/>
    </row>
    <row r="78" spans="1:12" ht="64.5" customHeight="1">
      <c r="A78" s="849"/>
      <c r="B78" s="350" t="s">
        <v>600</v>
      </c>
      <c r="C78" s="352"/>
      <c r="D78" s="347"/>
      <c r="E78" s="347"/>
      <c r="F78" s="347"/>
      <c r="G78" s="347"/>
      <c r="H78" s="348"/>
      <c r="I78" s="349"/>
      <c r="J78" s="850"/>
      <c r="K78" s="851"/>
      <c r="L78" s="349"/>
    </row>
    <row r="79" spans="1:12" ht="53.25">
      <c r="A79" s="849"/>
      <c r="B79" s="345" t="s">
        <v>20</v>
      </c>
      <c r="C79" s="353"/>
      <c r="D79" s="347"/>
      <c r="E79" s="347"/>
      <c r="F79" s="347"/>
      <c r="G79" s="347"/>
      <c r="H79" s="348"/>
      <c r="I79" s="349"/>
      <c r="J79" s="850"/>
      <c r="K79" s="851"/>
      <c r="L79" s="349"/>
    </row>
    <row r="80" spans="1:12" ht="23.25">
      <c r="A80" s="849"/>
      <c r="B80" s="345" t="s">
        <v>601</v>
      </c>
      <c r="C80" s="353"/>
      <c r="D80" s="347"/>
      <c r="E80" s="347"/>
      <c r="F80" s="347"/>
      <c r="G80" s="347"/>
      <c r="H80" s="348"/>
      <c r="I80" s="349"/>
      <c r="J80" s="850"/>
      <c r="K80" s="851"/>
      <c r="L80" s="349"/>
    </row>
    <row r="81" spans="1:12" ht="45.75" customHeight="1">
      <c r="A81" s="849"/>
      <c r="B81" s="345" t="s">
        <v>602</v>
      </c>
      <c r="C81" s="353"/>
      <c r="D81" s="347"/>
      <c r="E81" s="347"/>
      <c r="F81" s="347"/>
      <c r="G81" s="347"/>
      <c r="H81" s="348"/>
      <c r="I81" s="349"/>
      <c r="J81" s="850"/>
      <c r="K81" s="851"/>
      <c r="L81" s="349"/>
    </row>
    <row r="82" spans="1:12" ht="89.25" customHeight="1">
      <c r="A82" s="849"/>
      <c r="B82" s="345" t="s">
        <v>603</v>
      </c>
      <c r="C82" s="353"/>
      <c r="D82" s="347"/>
      <c r="E82" s="347"/>
      <c r="F82" s="347"/>
      <c r="G82" s="347"/>
      <c r="H82" s="348"/>
      <c r="I82" s="349"/>
      <c r="J82" s="850"/>
      <c r="K82" s="851"/>
      <c r="L82" s="349"/>
    </row>
    <row r="83" spans="1:12" ht="184.5" customHeight="1">
      <c r="A83" s="849"/>
      <c r="B83" s="345" t="s">
        <v>604</v>
      </c>
      <c r="C83" s="353"/>
      <c r="D83" s="347"/>
      <c r="E83" s="347"/>
      <c r="F83" s="347"/>
      <c r="G83" s="347"/>
      <c r="H83" s="348"/>
      <c r="I83" s="354" t="s">
        <v>593</v>
      </c>
      <c r="J83" s="850"/>
      <c r="K83" s="851"/>
      <c r="L83" s="349"/>
    </row>
  </sheetData>
  <mergeCells count="10">
    <mergeCell ref="A1:J1"/>
    <mergeCell ref="C4:D4"/>
    <mergeCell ref="C5:D5"/>
    <mergeCell ref="C6:D6"/>
    <mergeCell ref="C59:D59"/>
    <mergeCell ref="C60:E60"/>
    <mergeCell ref="C61:E61"/>
    <mergeCell ref="A72:A83"/>
    <mergeCell ref="J72:J83"/>
    <mergeCell ref="K72:K83"/>
  </mergeCells>
  <printOptions horizontalCentered="1"/>
  <pageMargins left="0.78749999999999998" right="0.39374999999999999" top="0.78749999999999998" bottom="0.78749999999999998" header="0.511811023622047" footer="0.511811023622047"/>
  <pageSetup paperSize="9" scale="79" orientation="portrait" horizontalDpi="300" verticalDpi="300" r:id="rId1"/>
  <rowBreaks count="1" manualBreakCount="1">
    <brk id="7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2:AMJ18"/>
  <sheetViews>
    <sheetView view="pageBreakPreview" zoomScale="110" zoomScaleSheetLayoutView="110" workbookViewId="0">
      <selection activeCell="B19" sqref="B19"/>
    </sheetView>
  </sheetViews>
  <sheetFormatPr defaultColWidth="3" defaultRowHeight="12.75"/>
  <cols>
    <col min="1" max="1" width="1.7109375" style="189" customWidth="1"/>
    <col min="2" max="2" width="4" style="189" customWidth="1"/>
    <col min="3" max="3" width="25.7109375" style="189" customWidth="1"/>
    <col min="4" max="4" width="6.7109375" style="189" customWidth="1"/>
    <col min="5" max="6" width="10.7109375" style="189" customWidth="1"/>
    <col min="7" max="8" width="10.7109375" style="190" customWidth="1"/>
    <col min="9" max="9" width="11.85546875" style="189" customWidth="1"/>
    <col min="10" max="1024" width="3" style="189"/>
  </cols>
  <sheetData>
    <row r="2" spans="2:9" ht="30" customHeight="1">
      <c r="B2" s="863" t="s">
        <v>484</v>
      </c>
      <c r="C2" s="863"/>
      <c r="D2" s="863"/>
      <c r="E2" s="863"/>
      <c r="F2" s="863"/>
      <c r="G2" s="863"/>
      <c r="H2" s="863"/>
      <c r="I2" s="863"/>
    </row>
    <row r="3" spans="2:9" s="191" customFormat="1" ht="12.75" customHeight="1">
      <c r="B3" s="864"/>
      <c r="C3" s="864"/>
      <c r="D3" s="864"/>
      <c r="E3" s="864"/>
      <c r="F3" s="864"/>
      <c r="G3" s="864"/>
      <c r="H3" s="864"/>
      <c r="I3" s="192" t="s">
        <v>485</v>
      </c>
    </row>
    <row r="4" spans="2:9" s="189" customFormat="1" ht="12.75" customHeight="1">
      <c r="B4" s="862" t="s">
        <v>414</v>
      </c>
      <c r="C4" s="862"/>
      <c r="D4" s="862"/>
      <c r="E4" s="865" t="s">
        <v>486</v>
      </c>
      <c r="F4" s="865"/>
      <c r="G4" s="865" t="s">
        <v>487</v>
      </c>
      <c r="H4" s="865"/>
      <c r="I4" s="865"/>
    </row>
    <row r="5" spans="2:9" s="193" customFormat="1" ht="15" customHeight="1">
      <c r="B5" s="860" t="str">
        <f>Input!D2</f>
        <v>HANNA</v>
      </c>
      <c r="C5" s="860"/>
      <c r="D5" s="860"/>
      <c r="E5" s="860" t="str">
        <f>Input!D12</f>
        <v>Napoli</v>
      </c>
      <c r="F5" s="860"/>
      <c r="G5" s="861">
        <f>Input!D8</f>
        <v>46167</v>
      </c>
      <c r="H5" s="861"/>
      <c r="I5" s="861"/>
    </row>
    <row r="6" spans="2:9" s="189" customFormat="1" ht="12.75" customHeight="1">
      <c r="B6" s="862" t="s">
        <v>417</v>
      </c>
      <c r="C6" s="862"/>
      <c r="D6" s="862"/>
      <c r="E6" s="862" t="s">
        <v>488</v>
      </c>
      <c r="F6" s="862"/>
      <c r="G6" s="862" t="s">
        <v>489</v>
      </c>
      <c r="H6" s="862"/>
      <c r="I6" s="862"/>
    </row>
    <row r="7" spans="2:9" s="194" customFormat="1" ht="15.75">
      <c r="B7" s="857" t="str">
        <f>Input!D4</f>
        <v>Cyprus</v>
      </c>
      <c r="C7" s="857"/>
      <c r="D7" s="857"/>
      <c r="E7" s="857" t="str">
        <f>Input!D14</f>
        <v>Alger</v>
      </c>
      <c r="F7" s="857"/>
      <c r="G7" s="857" t="str">
        <f>Input!D16</f>
        <v>La Spezia</v>
      </c>
      <c r="H7" s="857"/>
      <c r="I7" s="857"/>
    </row>
    <row r="8" spans="2:9" s="195" customFormat="1" ht="12.75" customHeight="1">
      <c r="B8" s="858" t="s">
        <v>490</v>
      </c>
      <c r="C8" s="859" t="s">
        <v>491</v>
      </c>
      <c r="D8" s="859" t="s">
        <v>492</v>
      </c>
      <c r="E8" s="859" t="s">
        <v>493</v>
      </c>
      <c r="F8" s="859" t="s">
        <v>494</v>
      </c>
      <c r="G8" s="858" t="s">
        <v>495</v>
      </c>
      <c r="H8" s="858" t="s">
        <v>496</v>
      </c>
      <c r="I8" s="859" t="s">
        <v>497</v>
      </c>
    </row>
    <row r="9" spans="2:9" s="195" customFormat="1" ht="12.75" customHeight="1">
      <c r="B9" s="858"/>
      <c r="C9" s="859"/>
      <c r="D9" s="859"/>
      <c r="E9" s="859"/>
      <c r="F9" s="859"/>
      <c r="G9" s="858"/>
      <c r="H9" s="858"/>
      <c r="I9" s="859"/>
    </row>
    <row r="10" spans="2:9" ht="30" customHeight="1">
      <c r="B10" s="455">
        <f>[2]Input!J12</f>
        <v>1</v>
      </c>
      <c r="C10" s="456" t="s">
        <v>725</v>
      </c>
      <c r="D10" s="455">
        <v>3</v>
      </c>
      <c r="E10" s="457" t="s">
        <v>728</v>
      </c>
      <c r="F10" s="458" t="s">
        <v>729</v>
      </c>
      <c r="G10" s="459" t="s">
        <v>730</v>
      </c>
      <c r="H10" s="459" t="s">
        <v>731</v>
      </c>
      <c r="I10" s="459" t="s">
        <v>732</v>
      </c>
    </row>
    <row r="11" spans="2:9" ht="30" customHeight="1">
      <c r="B11" s="455">
        <f>[2]Input!J13</f>
        <v>2</v>
      </c>
      <c r="C11" s="456" t="s">
        <v>692</v>
      </c>
      <c r="D11" s="455">
        <v>2</v>
      </c>
      <c r="E11" s="457" t="s">
        <v>693</v>
      </c>
      <c r="F11" s="458" t="s">
        <v>694</v>
      </c>
      <c r="G11" s="459" t="s">
        <v>695</v>
      </c>
      <c r="H11" s="459" t="s">
        <v>696</v>
      </c>
      <c r="I11" s="459" t="s">
        <v>732</v>
      </c>
    </row>
    <row r="12" spans="2:9" ht="30" customHeight="1">
      <c r="B12" s="455">
        <v>3</v>
      </c>
      <c r="C12" s="489" t="s">
        <v>726</v>
      </c>
      <c r="D12" s="455">
        <v>1</v>
      </c>
      <c r="E12" s="457" t="s">
        <v>733</v>
      </c>
      <c r="F12" s="458" t="s">
        <v>804</v>
      </c>
      <c r="G12" s="460" t="s">
        <v>805</v>
      </c>
      <c r="H12" s="490" t="s">
        <v>735</v>
      </c>
      <c r="I12" s="459" t="s">
        <v>732</v>
      </c>
    </row>
    <row r="13" spans="2:9" ht="30" customHeight="1">
      <c r="B13" s="455">
        <v>4</v>
      </c>
      <c r="C13" s="461" t="s">
        <v>727</v>
      </c>
      <c r="D13" s="455">
        <v>2</v>
      </c>
      <c r="E13" s="457" t="s">
        <v>733</v>
      </c>
      <c r="F13" s="458" t="s">
        <v>734</v>
      </c>
      <c r="G13" s="460" t="s">
        <v>736</v>
      </c>
      <c r="H13" s="459" t="s">
        <v>737</v>
      </c>
      <c r="I13" s="459" t="s">
        <v>732</v>
      </c>
    </row>
    <row r="14" spans="2:9" ht="30" customHeight="1">
      <c r="B14" s="462"/>
      <c r="C14" s="463"/>
      <c r="D14" s="462"/>
      <c r="E14" s="462"/>
      <c r="F14" s="464"/>
      <c r="G14" s="465"/>
      <c r="H14" s="465"/>
      <c r="I14" s="466"/>
    </row>
    <row r="15" spans="2:9" ht="30" customHeight="1">
      <c r="B15" s="196"/>
      <c r="C15" s="197"/>
      <c r="D15" s="196"/>
      <c r="E15" s="196"/>
      <c r="F15" s="198"/>
      <c r="G15" s="199"/>
      <c r="H15" s="199"/>
      <c r="I15" s="200"/>
    </row>
    <row r="16" spans="2:9" ht="30" customHeight="1">
      <c r="B16" s="196"/>
      <c r="C16" s="197"/>
      <c r="D16" s="196"/>
      <c r="E16" s="196"/>
      <c r="F16" s="198"/>
      <c r="G16" s="199"/>
      <c r="H16" s="199"/>
      <c r="I16" s="200"/>
    </row>
    <row r="17" spans="2:9" ht="30" customHeight="1">
      <c r="B17" s="196"/>
      <c r="C17" s="197"/>
      <c r="D17" s="196"/>
      <c r="E17" s="196"/>
      <c r="F17" s="198"/>
      <c r="G17" s="199"/>
      <c r="H17" s="199"/>
      <c r="I17" s="200"/>
    </row>
    <row r="18" spans="2:9" ht="60" customHeight="1">
      <c r="B18" s="856" t="s">
        <v>989</v>
      </c>
      <c r="C18" s="856"/>
      <c r="D18" s="856"/>
      <c r="E18" s="856"/>
      <c r="F18" s="856"/>
      <c r="G18" s="856"/>
      <c r="H18" s="856"/>
      <c r="I18" s="856"/>
    </row>
  </sheetData>
  <mergeCells count="23">
    <mergeCell ref="B2:I2"/>
    <mergeCell ref="B3:H3"/>
    <mergeCell ref="B4:D4"/>
    <mergeCell ref="E4:F4"/>
    <mergeCell ref="G4:I4"/>
    <mergeCell ref="B5:D5"/>
    <mergeCell ref="E5:F5"/>
    <mergeCell ref="G5:I5"/>
    <mergeCell ref="B6:D6"/>
    <mergeCell ref="E6:F6"/>
    <mergeCell ref="G6:I6"/>
    <mergeCell ref="B18:I18"/>
    <mergeCell ref="B7:D7"/>
    <mergeCell ref="E7:F7"/>
    <mergeCell ref="G7:I7"/>
    <mergeCell ref="B8:B9"/>
    <mergeCell ref="C8:C9"/>
    <mergeCell ref="D8:D9"/>
    <mergeCell ref="E8:E9"/>
    <mergeCell ref="F8:F9"/>
    <mergeCell ref="G8:G9"/>
    <mergeCell ref="H8:H9"/>
    <mergeCell ref="I8:I9"/>
  </mergeCells>
  <printOptions horizontalCentered="1"/>
  <pageMargins left="0.39374999999999999" right="0.39374999999999999" top="0.98402777777777795" bottom="0.39374999999999999"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AMJ45"/>
  <sheetViews>
    <sheetView showGridLines="0" view="pageBreakPreview" topLeftCell="A10" workbookViewId="0">
      <selection activeCell="H27" sqref="H27"/>
    </sheetView>
  </sheetViews>
  <sheetFormatPr defaultColWidth="3" defaultRowHeight="12.75"/>
  <cols>
    <col min="1" max="1" width="2" style="94" customWidth="1"/>
    <col min="2" max="2" width="1" style="94" customWidth="1"/>
    <col min="3" max="3" width="5.42578125" style="94" customWidth="1"/>
    <col min="4" max="4" width="26.5703125" style="94" customWidth="1"/>
    <col min="5" max="5" width="8.85546875" style="11" customWidth="1"/>
    <col min="6" max="6" width="4.5703125" style="94" customWidth="1"/>
    <col min="7" max="7" width="3" style="94"/>
    <col min="8" max="8" width="7.85546875" style="94" customWidth="1"/>
    <col min="9" max="9" width="10.5703125" style="94" customWidth="1"/>
    <col min="10" max="10" width="21" style="94" customWidth="1"/>
    <col min="11" max="1024" width="3" style="94"/>
  </cols>
  <sheetData>
    <row r="1" spans="1:11" ht="20.25" customHeight="1">
      <c r="C1" s="783" t="s">
        <v>505</v>
      </c>
      <c r="D1" s="783"/>
      <c r="E1" s="783"/>
      <c r="F1" s="783"/>
      <c r="G1" s="783"/>
      <c r="H1" s="783"/>
      <c r="I1" s="783"/>
      <c r="J1" s="783"/>
    </row>
    <row r="2" spans="1:11" ht="10.5" customHeight="1">
      <c r="J2" s="97" t="s">
        <v>411</v>
      </c>
    </row>
    <row r="3" spans="1:11" s="95" customFormat="1" ht="23.25" customHeight="1">
      <c r="E3" s="137"/>
      <c r="H3" s="96"/>
      <c r="J3" s="138">
        <v>1</v>
      </c>
    </row>
    <row r="4" spans="1:11" s="95" customFormat="1" ht="12" customHeight="1">
      <c r="C4" s="779" t="s">
        <v>414</v>
      </c>
      <c r="D4" s="779"/>
      <c r="E4" s="779"/>
      <c r="F4" s="817" t="s">
        <v>506</v>
      </c>
      <c r="G4" s="817"/>
      <c r="H4" s="817"/>
      <c r="I4" s="817"/>
      <c r="J4" s="817"/>
    </row>
    <row r="5" spans="1:11" s="95" customFormat="1" ht="18" customHeight="1">
      <c r="C5" s="818" t="str">
        <f>Input!D2</f>
        <v>HANNA</v>
      </c>
      <c r="D5" s="818"/>
      <c r="E5" s="818"/>
      <c r="F5" s="817"/>
      <c r="G5" s="817"/>
      <c r="H5" s="817"/>
      <c r="I5" s="817"/>
      <c r="J5" s="817"/>
    </row>
    <row r="6" spans="1:11" ht="10.5" customHeight="1">
      <c r="A6" s="140"/>
      <c r="B6" s="95"/>
      <c r="C6" s="779" t="s">
        <v>435</v>
      </c>
      <c r="D6" s="779"/>
      <c r="E6" s="779"/>
      <c r="F6" s="868" t="s">
        <v>507</v>
      </c>
      <c r="G6" s="869"/>
      <c r="H6" s="819" t="s">
        <v>508</v>
      </c>
      <c r="I6" s="820" t="s">
        <v>439</v>
      </c>
      <c r="J6" s="104"/>
    </row>
    <row r="7" spans="1:11" ht="18" customHeight="1">
      <c r="A7" s="140"/>
      <c r="B7" s="95"/>
      <c r="C7" s="818" t="str">
        <f>Input!D4</f>
        <v>Cyprus</v>
      </c>
      <c r="D7" s="818"/>
      <c r="E7" s="818"/>
      <c r="F7" s="868"/>
      <c r="G7" s="869"/>
      <c r="H7" s="819"/>
      <c r="I7" s="820"/>
      <c r="J7" s="106"/>
      <c r="K7" s="103"/>
    </row>
    <row r="8" spans="1:11" ht="19.5" customHeight="1">
      <c r="A8" s="140"/>
      <c r="B8" s="95"/>
      <c r="C8" s="143" t="s">
        <v>441</v>
      </c>
      <c r="D8" s="144" t="s">
        <v>442</v>
      </c>
      <c r="E8" s="145" t="s">
        <v>443</v>
      </c>
      <c r="F8" s="868"/>
      <c r="G8" s="869"/>
      <c r="H8" s="819"/>
      <c r="I8" s="820"/>
      <c r="J8" s="139" t="s">
        <v>444</v>
      </c>
    </row>
    <row r="9" spans="1:11" ht="19.5" customHeight="1">
      <c r="A9" s="772" t="s">
        <v>426</v>
      </c>
      <c r="C9" s="148">
        <v>1</v>
      </c>
      <c r="D9" s="220" t="str">
        <f>'Crew Arr.'!C11</f>
        <v>ZHYKHARIEV, Dmytro</v>
      </c>
      <c r="E9" s="149" t="str">
        <f>'Crew Arr.'!D11</f>
        <v>Master</v>
      </c>
      <c r="F9" s="866"/>
      <c r="G9" s="866"/>
      <c r="H9" s="109"/>
      <c r="I9" s="109"/>
      <c r="J9" s="152"/>
    </row>
    <row r="10" spans="1:11" ht="19.5" customHeight="1">
      <c r="A10" s="772"/>
      <c r="C10" s="115">
        <v>2</v>
      </c>
      <c r="D10" s="36" t="str">
        <f>'Crew Arr.'!C12</f>
        <v>LAURENTE, Artemio Belza</v>
      </c>
      <c r="E10" s="153" t="str">
        <f>'Crew Arr.'!D12</f>
        <v>Ch.Off</v>
      </c>
      <c r="F10" s="867"/>
      <c r="G10" s="867"/>
      <c r="H10" s="23"/>
      <c r="I10" s="23"/>
      <c r="J10" s="118"/>
    </row>
    <row r="11" spans="1:11" ht="19.5" customHeight="1">
      <c r="A11" s="772"/>
      <c r="C11" s="115">
        <v>3</v>
      </c>
      <c r="D11" s="36" t="str">
        <f>'Crew Arr.'!C13</f>
        <v>MAKAR, Maksym</v>
      </c>
      <c r="E11" s="153" t="str">
        <f>'Crew Arr.'!D13</f>
        <v>2nd Off</v>
      </c>
      <c r="F11" s="867"/>
      <c r="G11" s="867"/>
      <c r="H11" s="23"/>
      <c r="I11" s="23"/>
      <c r="J11" s="118"/>
    </row>
    <row r="12" spans="1:11" ht="19.5" customHeight="1">
      <c r="A12" s="772"/>
      <c r="C12" s="115">
        <v>4</v>
      </c>
      <c r="D12" s="36" t="str">
        <f>'Crew Arr.'!C14</f>
        <v>ZADOROZHNY, Sergiy</v>
      </c>
      <c r="E12" s="153" t="str">
        <f>'Crew Arr.'!D14</f>
        <v>Ch.Eng</v>
      </c>
      <c r="F12" s="867"/>
      <c r="G12" s="867"/>
      <c r="H12" s="23"/>
      <c r="I12" s="23"/>
      <c r="J12" s="118"/>
    </row>
    <row r="13" spans="1:11" ht="19.5" customHeight="1">
      <c r="A13" s="772"/>
      <c r="C13" s="115">
        <v>5</v>
      </c>
      <c r="D13" s="36" t="str">
        <f>'Crew Arr.'!C15</f>
        <v>HONCHAR, Yurii</v>
      </c>
      <c r="E13" s="153" t="str">
        <f>'Crew Arr.'!D15</f>
        <v>2nd Eng</v>
      </c>
      <c r="F13" s="867"/>
      <c r="G13" s="867"/>
      <c r="H13" s="23"/>
      <c r="I13" s="23"/>
      <c r="J13" s="118"/>
    </row>
    <row r="14" spans="1:11" ht="19.5" customHeight="1">
      <c r="A14" s="772"/>
      <c r="C14" s="115">
        <v>6</v>
      </c>
      <c r="D14" s="36" t="str">
        <f>'Crew Arr.'!C16</f>
        <v>CORCINO, Renand Aparece</v>
      </c>
      <c r="E14" s="153" t="str">
        <f>'Crew Arr.'!D16</f>
        <v>A/B</v>
      </c>
      <c r="F14" s="867"/>
      <c r="G14" s="867"/>
      <c r="H14" s="23"/>
      <c r="I14" s="23"/>
      <c r="J14" s="118"/>
    </row>
    <row r="15" spans="1:11" ht="19.5" customHeight="1">
      <c r="A15" s="772"/>
      <c r="C15" s="115">
        <v>7</v>
      </c>
      <c r="D15" s="36" t="str">
        <f>'Crew Arr.'!C17</f>
        <v>BANEZ, John Kenneth Rebundas</v>
      </c>
      <c r="E15" s="153" t="str">
        <f>'Crew Arr.'!D17</f>
        <v>O/S</v>
      </c>
      <c r="F15" s="867"/>
      <c r="G15" s="867"/>
      <c r="H15" s="23"/>
      <c r="I15" s="23"/>
      <c r="J15" s="118"/>
    </row>
    <row r="16" spans="1:11" ht="19.5" customHeight="1">
      <c r="A16" s="772"/>
      <c r="C16" s="115">
        <v>8</v>
      </c>
      <c r="D16" s="36" t="str">
        <f>'Crew Arr.'!C18</f>
        <v>PERNIA, James Malitao</v>
      </c>
      <c r="E16" s="153" t="str">
        <f>'Crew Arr.'!D18</f>
        <v>O/S</v>
      </c>
      <c r="F16" s="867"/>
      <c r="G16" s="867"/>
      <c r="H16" s="23"/>
      <c r="I16" s="23"/>
      <c r="J16" s="118"/>
    </row>
    <row r="17" spans="1:10" ht="19.5" customHeight="1">
      <c r="A17" s="772"/>
      <c r="C17" s="115">
        <v>9</v>
      </c>
      <c r="D17" s="36" t="str">
        <f>'Crew Arr.'!C19</f>
        <v>CANTOS, Philip Justin Perez</v>
      </c>
      <c r="E17" s="153" t="s">
        <v>269</v>
      </c>
      <c r="F17" s="867"/>
      <c r="G17" s="867"/>
      <c r="H17" s="23"/>
      <c r="I17" s="23"/>
      <c r="J17" s="118"/>
    </row>
    <row r="18" spans="1:10" ht="19.5" customHeight="1">
      <c r="A18" s="772"/>
      <c r="C18" s="115">
        <v>10</v>
      </c>
      <c r="D18" s="36" t="str">
        <f>'Crew Arr.'!C20</f>
        <v>ROMULO, Roland Bong Rosal</v>
      </c>
      <c r="E18" s="153" t="str">
        <f>'Crew Arr.'!D20</f>
        <v>O/S</v>
      </c>
      <c r="F18" s="867"/>
      <c r="G18" s="867"/>
      <c r="H18" s="23"/>
      <c r="I18" s="23"/>
      <c r="J18" s="118"/>
    </row>
    <row r="19" spans="1:10" ht="19.5" customHeight="1">
      <c r="A19" s="772"/>
      <c r="C19" s="115">
        <v>11</v>
      </c>
      <c r="D19" s="36" t="str">
        <f>'Crew Arr.'!C21</f>
        <v>MATALUBOS, Gerald Maniapao</v>
      </c>
      <c r="E19" s="153" t="str">
        <f>'Crew Arr.'!D21</f>
        <v>Wiper</v>
      </c>
      <c r="F19" s="867"/>
      <c r="G19" s="867"/>
      <c r="H19" s="23"/>
      <c r="I19" s="23"/>
      <c r="J19" s="118"/>
    </row>
    <row r="20" spans="1:10" ht="19.5" customHeight="1">
      <c r="A20" s="772"/>
      <c r="C20" s="115">
        <v>12</v>
      </c>
      <c r="D20" s="36" t="str">
        <f>'Crew Arr.'!C22</f>
        <v>BERNABE, Brian Malaluan</v>
      </c>
      <c r="E20" s="153" t="str">
        <f>'Crew Arr.'!D22</f>
        <v>Cook</v>
      </c>
      <c r="F20" s="867"/>
      <c r="G20" s="867"/>
      <c r="H20" s="23"/>
      <c r="I20" s="23"/>
      <c r="J20" s="118"/>
    </row>
    <row r="21" spans="1:10" ht="19.5" customHeight="1">
      <c r="A21" s="772"/>
      <c r="C21" s="115">
        <v>13</v>
      </c>
      <c r="D21" s="36" t="str">
        <f>'Crew Arr.'!C23</f>
        <v>SISON, Jan Randell Rollo</v>
      </c>
      <c r="E21" s="153" t="str">
        <f>'Crew Arr.'!D23</f>
        <v>Dcad</v>
      </c>
      <c r="F21" s="221"/>
      <c r="G21" s="222"/>
      <c r="H21" s="154"/>
      <c r="I21" s="158"/>
      <c r="J21" s="118"/>
    </row>
    <row r="22" spans="1:10" ht="19.5" customHeight="1">
      <c r="A22" s="772"/>
      <c r="C22" s="115"/>
      <c r="D22" s="36"/>
      <c r="E22" s="153"/>
      <c r="F22" s="221"/>
      <c r="G22" s="222"/>
      <c r="H22" s="154"/>
      <c r="I22" s="158"/>
      <c r="J22" s="118"/>
    </row>
    <row r="23" spans="1:10" ht="19.5" customHeight="1">
      <c r="A23" s="772"/>
      <c r="C23" s="115"/>
      <c r="D23" s="25"/>
      <c r="E23" s="16"/>
      <c r="F23" s="223"/>
      <c r="G23" s="224"/>
      <c r="H23" s="118"/>
      <c r="I23" s="158"/>
      <c r="J23" s="118"/>
    </row>
    <row r="24" spans="1:10" ht="19.5" customHeight="1">
      <c r="A24" s="772"/>
      <c r="C24" s="118"/>
      <c r="D24" s="36"/>
      <c r="E24" s="158"/>
      <c r="F24" s="223"/>
      <c r="G24" s="224"/>
      <c r="H24" s="118"/>
      <c r="I24" s="118"/>
      <c r="J24" s="118"/>
    </row>
    <row r="25" spans="1:10" ht="19.5" customHeight="1">
      <c r="A25" s="772"/>
      <c r="C25" s="118"/>
      <c r="D25" s="36"/>
      <c r="E25" s="158"/>
      <c r="F25" s="223"/>
      <c r="G25" s="224"/>
      <c r="H25" s="118"/>
      <c r="I25" s="118"/>
      <c r="J25" s="118"/>
    </row>
    <row r="26" spans="1:10" ht="19.5" customHeight="1">
      <c r="A26" s="772"/>
      <c r="C26" s="118"/>
      <c r="D26" s="36"/>
      <c r="E26" s="158"/>
      <c r="F26" s="223"/>
      <c r="G26" s="224"/>
      <c r="H26" s="118"/>
      <c r="I26" s="118"/>
      <c r="J26" s="118"/>
    </row>
    <row r="27" spans="1:10" ht="19.5" customHeight="1">
      <c r="A27" s="772"/>
      <c r="C27" s="118"/>
      <c r="D27" s="36"/>
      <c r="E27" s="158"/>
      <c r="F27" s="223"/>
      <c r="G27" s="224"/>
      <c r="H27" s="118"/>
      <c r="I27" s="118"/>
      <c r="J27" s="118"/>
    </row>
    <row r="28" spans="1:10" ht="19.5" customHeight="1">
      <c r="C28" s="118"/>
      <c r="D28" s="36"/>
      <c r="E28" s="158"/>
      <c r="F28" s="223"/>
      <c r="G28" s="224"/>
      <c r="H28" s="118"/>
      <c r="I28" s="118"/>
      <c r="J28" s="118"/>
    </row>
    <row r="29" spans="1:10" ht="19.5" customHeight="1">
      <c r="C29" s="118"/>
      <c r="D29" s="36"/>
      <c r="E29" s="158"/>
      <c r="F29" s="223"/>
      <c r="G29" s="224"/>
      <c r="H29" s="118"/>
      <c r="I29" s="118"/>
      <c r="J29" s="118"/>
    </row>
    <row r="30" spans="1:10" ht="19.5" customHeight="1">
      <c r="C30" s="118"/>
      <c r="D30" s="36"/>
      <c r="E30" s="158"/>
      <c r="F30" s="223"/>
      <c r="G30" s="224"/>
      <c r="H30" s="118"/>
      <c r="I30" s="118"/>
      <c r="J30" s="118"/>
    </row>
    <row r="31" spans="1:10" ht="19.5" customHeight="1">
      <c r="C31" s="118"/>
      <c r="D31" s="36"/>
      <c r="E31" s="158"/>
      <c r="F31" s="223"/>
      <c r="G31" s="224"/>
      <c r="H31" s="118"/>
      <c r="I31" s="118"/>
      <c r="J31" s="118"/>
    </row>
    <row r="32" spans="1:10" ht="19.5" customHeight="1">
      <c r="C32" s="121"/>
      <c r="D32" s="121"/>
      <c r="E32" s="120"/>
      <c r="F32" s="225"/>
      <c r="G32" s="226"/>
      <c r="H32" s="121"/>
      <c r="I32" s="121"/>
      <c r="J32" s="121"/>
    </row>
    <row r="33" spans="1:6" ht="12" customHeight="1">
      <c r="C33" s="95" t="s">
        <v>449</v>
      </c>
    </row>
    <row r="34" spans="1:6">
      <c r="D34" s="124"/>
    </row>
    <row r="39" spans="1:6">
      <c r="A39" s="122"/>
    </row>
    <row r="40" spans="1:6">
      <c r="A40" s="122"/>
    </row>
    <row r="43" spans="1:6">
      <c r="D43" s="159"/>
    </row>
    <row r="44" spans="1:6">
      <c r="D44" s="95" t="s">
        <v>451</v>
      </c>
      <c r="F44" s="126"/>
    </row>
    <row r="45" spans="1:6">
      <c r="A45" s="122"/>
    </row>
  </sheetData>
  <mergeCells count="23">
    <mergeCell ref="C1:J1"/>
    <mergeCell ref="C4:E4"/>
    <mergeCell ref="F4:J5"/>
    <mergeCell ref="C5:E5"/>
    <mergeCell ref="C6:E6"/>
    <mergeCell ref="F6:F8"/>
    <mergeCell ref="G6:G8"/>
    <mergeCell ref="H6:H8"/>
    <mergeCell ref="I6:I8"/>
    <mergeCell ref="C7:E7"/>
    <mergeCell ref="A9:A27"/>
    <mergeCell ref="F9:G9"/>
    <mergeCell ref="F10:G10"/>
    <mergeCell ref="F11:G11"/>
    <mergeCell ref="F12:G12"/>
    <mergeCell ref="F13:G13"/>
    <mergeCell ref="F14:G14"/>
    <mergeCell ref="F15:G15"/>
    <mergeCell ref="F16:G16"/>
    <mergeCell ref="F17:G17"/>
    <mergeCell ref="F18:G18"/>
    <mergeCell ref="F19:G19"/>
    <mergeCell ref="F20:G20"/>
  </mergeCells>
  <printOptions horizontalCentered="1"/>
  <pageMargins left="0.78749999999999998" right="0.39374999999999999" top="0.78749999999999998" bottom="0.23611111111111099" header="0.511811023622047" footer="0.511811023622047"/>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M26"/>
  <sheetViews>
    <sheetView showGridLines="0" view="pageBreakPreview" zoomScale="90" zoomScaleNormal="100" zoomScaleSheetLayoutView="90" zoomScalePageLayoutView="80" workbookViewId="0">
      <selection activeCell="I25" sqref="I25:L25"/>
    </sheetView>
  </sheetViews>
  <sheetFormatPr defaultColWidth="8.7109375" defaultRowHeight="12.75"/>
  <cols>
    <col min="1" max="1" width="0.5703125" customWidth="1"/>
    <col min="2" max="2" width="8.85546875" customWidth="1"/>
    <col min="3" max="3" width="34.85546875" customWidth="1"/>
    <col min="4" max="4" width="10.7109375" customWidth="1"/>
    <col min="5" max="5" width="7.7109375" customWidth="1"/>
    <col min="6" max="6" width="4.7109375" customWidth="1"/>
    <col min="7" max="7" width="2.7109375" customWidth="1"/>
    <col min="8" max="8" width="7.7109375" customWidth="1"/>
    <col min="9" max="9" width="4.7109375" customWidth="1"/>
    <col min="10" max="10" width="2.7109375" customWidth="1"/>
    <col min="11" max="12" width="7.28515625" customWidth="1"/>
    <col min="13" max="13" width="1.5703125" customWidth="1"/>
  </cols>
  <sheetData>
    <row r="1" spans="2:13" ht="34.5" customHeight="1">
      <c r="B1" s="877" t="s">
        <v>918</v>
      </c>
      <c r="C1" s="877"/>
      <c r="D1" s="877"/>
      <c r="E1" s="877"/>
      <c r="F1" s="877"/>
      <c r="G1" s="877"/>
      <c r="H1" s="877"/>
      <c r="I1" s="877"/>
      <c r="J1" s="877"/>
      <c r="K1" s="877"/>
      <c r="L1" s="877"/>
      <c r="M1" s="44"/>
    </row>
    <row r="2" spans="2:13" ht="13.5" customHeight="1">
      <c r="B2" s="516"/>
      <c r="C2" s="516"/>
      <c r="D2" s="516"/>
      <c r="E2" s="516"/>
      <c r="F2" s="516"/>
      <c r="G2" s="516"/>
      <c r="H2" s="516"/>
      <c r="I2" s="516"/>
      <c r="J2" s="516"/>
      <c r="K2" s="516"/>
      <c r="L2" s="516"/>
    </row>
    <row r="3" spans="2:13" ht="30" customHeight="1">
      <c r="B3" s="528" t="s">
        <v>499</v>
      </c>
      <c r="C3" s="878" t="str">
        <f>Input!D2</f>
        <v>HANNA</v>
      </c>
      <c r="D3" s="878"/>
      <c r="E3" s="886" t="s">
        <v>509</v>
      </c>
      <c r="F3" s="886"/>
      <c r="G3" s="886"/>
      <c r="H3" s="886"/>
      <c r="I3" s="886"/>
      <c r="J3" s="886"/>
      <c r="K3" s="887" t="s">
        <v>510</v>
      </c>
      <c r="L3" s="887"/>
    </row>
    <row r="4" spans="2:13" ht="30" customHeight="1">
      <c r="B4" s="528" t="s">
        <v>487</v>
      </c>
      <c r="C4" s="879">
        <v>46015</v>
      </c>
      <c r="D4" s="880"/>
      <c r="E4" s="886"/>
      <c r="F4" s="886"/>
      <c r="G4" s="886"/>
      <c r="H4" s="886"/>
      <c r="I4" s="886"/>
      <c r="J4" s="886"/>
      <c r="K4" s="887"/>
      <c r="L4" s="887"/>
    </row>
    <row r="5" spans="2:13" ht="30" customHeight="1">
      <c r="B5" s="529" t="s">
        <v>490</v>
      </c>
      <c r="C5" s="530" t="s">
        <v>919</v>
      </c>
      <c r="D5" s="529" t="s">
        <v>19</v>
      </c>
      <c r="E5" s="888" t="s">
        <v>507</v>
      </c>
      <c r="F5" s="888"/>
      <c r="G5" s="888"/>
      <c r="H5" s="888" t="s">
        <v>511</v>
      </c>
      <c r="I5" s="888"/>
      <c r="J5" s="888"/>
      <c r="K5" s="889"/>
      <c r="L5" s="890"/>
    </row>
    <row r="6" spans="2:13" ht="30" customHeight="1">
      <c r="B6" s="523">
        <f>Input!K6</f>
        <v>1</v>
      </c>
      <c r="C6" s="524" t="str">
        <f>+Input!L6</f>
        <v>ZHYKHARIEV, Dmytro</v>
      </c>
      <c r="D6" s="526" t="str">
        <f>Input!M6</f>
        <v>Master</v>
      </c>
      <c r="E6" s="871"/>
      <c r="F6" s="871"/>
      <c r="G6" s="871"/>
      <c r="H6" s="871"/>
      <c r="I6" s="871"/>
      <c r="J6" s="871"/>
      <c r="K6" s="872"/>
      <c r="L6" s="873"/>
    </row>
    <row r="7" spans="2:13" ht="30" customHeight="1">
      <c r="B7" s="523">
        <f>Input!K7</f>
        <v>2</v>
      </c>
      <c r="C7" s="524" t="str">
        <f>+Input!L7</f>
        <v>LAURENTE, Artemio Belza</v>
      </c>
      <c r="D7" s="526" t="str">
        <f>Input!M7</f>
        <v>Ch.Off</v>
      </c>
      <c r="E7" s="871"/>
      <c r="F7" s="871"/>
      <c r="G7" s="871"/>
      <c r="H7" s="871"/>
      <c r="I7" s="871"/>
      <c r="J7" s="871"/>
      <c r="K7" s="872"/>
      <c r="L7" s="873"/>
    </row>
    <row r="8" spans="2:13" ht="30" customHeight="1">
      <c r="B8" s="523">
        <f>Input!K8</f>
        <v>3</v>
      </c>
      <c r="C8" s="524" t="str">
        <f>+Input!L8</f>
        <v>MAKAR, Maksym</v>
      </c>
      <c r="D8" s="526" t="str">
        <f>Input!M8</f>
        <v>2nd Off</v>
      </c>
      <c r="E8" s="871"/>
      <c r="F8" s="871"/>
      <c r="G8" s="871"/>
      <c r="H8" s="871"/>
      <c r="I8" s="871"/>
      <c r="J8" s="871"/>
      <c r="K8" s="872"/>
      <c r="L8" s="873"/>
    </row>
    <row r="9" spans="2:13" ht="30" customHeight="1">
      <c r="B9" s="523">
        <f>Input!K9</f>
        <v>4</v>
      </c>
      <c r="C9" s="524" t="str">
        <f>+Input!L9</f>
        <v>ZADOROZHNY, Sergiy</v>
      </c>
      <c r="D9" s="526" t="str">
        <f>Input!M9</f>
        <v>Ch.Eng</v>
      </c>
      <c r="E9" s="871"/>
      <c r="F9" s="871"/>
      <c r="G9" s="871"/>
      <c r="H9" s="871"/>
      <c r="I9" s="871"/>
      <c r="J9" s="871"/>
      <c r="K9" s="872"/>
      <c r="L9" s="873"/>
    </row>
    <row r="10" spans="2:13" ht="30" customHeight="1">
      <c r="B10" s="523">
        <f>Input!K10</f>
        <v>5</v>
      </c>
      <c r="C10" s="524" t="str">
        <f>+Input!L10</f>
        <v>HONCHAR, Yurii</v>
      </c>
      <c r="D10" s="526" t="str">
        <f>Input!M10</f>
        <v>2nd Eng</v>
      </c>
      <c r="E10" s="871"/>
      <c r="F10" s="871"/>
      <c r="G10" s="871"/>
      <c r="H10" s="871"/>
      <c r="I10" s="871"/>
      <c r="J10" s="871"/>
      <c r="K10" s="872"/>
      <c r="L10" s="873"/>
    </row>
    <row r="11" spans="2:13" ht="30" customHeight="1">
      <c r="B11" s="523">
        <f>Input!K11</f>
        <v>6</v>
      </c>
      <c r="C11" s="524" t="str">
        <f>+Input!L11</f>
        <v>CORCINO, Renand Aparece</v>
      </c>
      <c r="D11" s="526" t="str">
        <f>Input!M11</f>
        <v>A/B</v>
      </c>
      <c r="E11" s="871"/>
      <c r="F11" s="871"/>
      <c r="G11" s="871"/>
      <c r="H11" s="871"/>
      <c r="I11" s="871"/>
      <c r="J11" s="871"/>
      <c r="K11" s="872"/>
      <c r="L11" s="873"/>
    </row>
    <row r="12" spans="2:13" ht="30" customHeight="1">
      <c r="B12" s="523">
        <f>Input!K12</f>
        <v>7</v>
      </c>
      <c r="C12" s="524" t="str">
        <f>+Input!L12</f>
        <v>BANEZ, John Kenneth Rebundas</v>
      </c>
      <c r="D12" s="526" t="str">
        <f>Input!M12</f>
        <v>O/S</v>
      </c>
      <c r="E12" s="871"/>
      <c r="F12" s="871"/>
      <c r="G12" s="871"/>
      <c r="H12" s="871"/>
      <c r="I12" s="871"/>
      <c r="J12" s="871"/>
      <c r="K12" s="872"/>
      <c r="L12" s="873"/>
    </row>
    <row r="13" spans="2:13" ht="30" customHeight="1">
      <c r="B13" s="523">
        <f>Input!K13</f>
        <v>8</v>
      </c>
      <c r="C13" s="524" t="str">
        <f>+Input!L13</f>
        <v>PERNIA, James Malitao</v>
      </c>
      <c r="D13" s="526" t="str">
        <f>Input!M13</f>
        <v>O/S</v>
      </c>
      <c r="E13" s="871"/>
      <c r="F13" s="871"/>
      <c r="G13" s="871"/>
      <c r="H13" s="871"/>
      <c r="I13" s="871"/>
      <c r="J13" s="871"/>
      <c r="K13" s="872"/>
      <c r="L13" s="873"/>
    </row>
    <row r="14" spans="2:13" ht="30" customHeight="1">
      <c r="B14" s="523">
        <f>Input!K14</f>
        <v>9</v>
      </c>
      <c r="C14" s="524" t="str">
        <f>+Input!L14</f>
        <v>CANTOS, Philip Justin Perez</v>
      </c>
      <c r="D14" s="526" t="str">
        <f>Input!M14</f>
        <v>O/S</v>
      </c>
      <c r="E14" s="871"/>
      <c r="F14" s="871"/>
      <c r="G14" s="871"/>
      <c r="H14" s="871"/>
      <c r="I14" s="871"/>
      <c r="J14" s="871"/>
      <c r="K14" s="872"/>
      <c r="L14" s="873"/>
    </row>
    <row r="15" spans="2:13" ht="30" customHeight="1">
      <c r="B15" s="523">
        <f>Input!K15</f>
        <v>10</v>
      </c>
      <c r="C15" s="524" t="str">
        <f>+Input!L15</f>
        <v>ROMULO, Roland Bong Rosal</v>
      </c>
      <c r="D15" s="526" t="str">
        <f>Input!M15</f>
        <v>O/S</v>
      </c>
      <c r="E15" s="871"/>
      <c r="F15" s="871"/>
      <c r="G15" s="871"/>
      <c r="H15" s="871"/>
      <c r="I15" s="871"/>
      <c r="J15" s="871"/>
      <c r="K15" s="872"/>
      <c r="L15" s="873"/>
    </row>
    <row r="16" spans="2:13" ht="30" customHeight="1">
      <c r="B16" s="523">
        <f>Input!K16</f>
        <v>11</v>
      </c>
      <c r="C16" s="524" t="str">
        <f>+Input!L16</f>
        <v>MATALUBOS, Gerald Maniapao</v>
      </c>
      <c r="D16" s="526" t="str">
        <f>Input!M16</f>
        <v>Wiper</v>
      </c>
      <c r="E16" s="871"/>
      <c r="F16" s="871"/>
      <c r="G16" s="871"/>
      <c r="H16" s="871"/>
      <c r="I16" s="871"/>
      <c r="J16" s="871"/>
      <c r="K16" s="872"/>
      <c r="L16" s="873"/>
    </row>
    <row r="17" spans="2:12" ht="30" customHeight="1">
      <c r="B17" s="523">
        <f>Input!K17</f>
        <v>12</v>
      </c>
      <c r="C17" s="524" t="str">
        <f>+Input!L17</f>
        <v>BERNABE, Brian Malaluan</v>
      </c>
      <c r="D17" s="526" t="str">
        <f>Input!M17</f>
        <v>Cook</v>
      </c>
      <c r="E17" s="874"/>
      <c r="F17" s="875"/>
      <c r="G17" s="876"/>
      <c r="H17" s="874"/>
      <c r="I17" s="875"/>
      <c r="J17" s="876"/>
      <c r="K17" s="872"/>
      <c r="L17" s="873"/>
    </row>
    <row r="18" spans="2:12" ht="30" customHeight="1">
      <c r="B18" s="523">
        <f>Input!K18</f>
        <v>13</v>
      </c>
      <c r="C18" s="525" t="str">
        <f>+Input!L18</f>
        <v>SISON, Jan Randell Rollo</v>
      </c>
      <c r="D18" s="526" t="str">
        <f>Input!M18</f>
        <v>Dcad</v>
      </c>
      <c r="E18" s="871"/>
      <c r="F18" s="871"/>
      <c r="G18" s="871"/>
      <c r="H18" s="871"/>
      <c r="I18" s="871"/>
      <c r="J18" s="871"/>
      <c r="K18" s="872"/>
      <c r="L18" s="873"/>
    </row>
    <row r="19" spans="2:12" ht="39.75" customHeight="1">
      <c r="B19" s="881" t="s">
        <v>512</v>
      </c>
      <c r="C19" s="882"/>
      <c r="D19" s="883"/>
      <c r="E19" s="871"/>
      <c r="F19" s="871"/>
      <c r="G19" s="871"/>
      <c r="H19" s="871"/>
      <c r="I19" s="871"/>
      <c r="J19" s="871"/>
      <c r="K19" s="884"/>
      <c r="L19" s="885"/>
    </row>
    <row r="21" spans="2:12" ht="21" customHeight="1"/>
    <row r="22" spans="2:12" ht="23.25" customHeight="1"/>
    <row r="23" spans="2:12" ht="18">
      <c r="E23" s="514" t="s">
        <v>513</v>
      </c>
      <c r="F23" s="229"/>
      <c r="G23" s="229"/>
      <c r="H23" s="229"/>
      <c r="I23" s="514" t="s">
        <v>990</v>
      </c>
      <c r="J23" s="228"/>
      <c r="K23" s="228"/>
    </row>
    <row r="24" spans="2:12" ht="18">
      <c r="E24" s="228"/>
      <c r="F24" s="228"/>
      <c r="G24" s="228"/>
      <c r="H24" s="228"/>
      <c r="I24" s="228"/>
      <c r="J24" s="228"/>
      <c r="K24" s="228"/>
    </row>
    <row r="25" spans="2:12" ht="18">
      <c r="E25" s="228"/>
      <c r="F25" s="228"/>
      <c r="G25" s="228"/>
      <c r="H25" s="228"/>
      <c r="I25" s="870">
        <v>46015</v>
      </c>
      <c r="J25" s="870"/>
      <c r="K25" s="870"/>
      <c r="L25" s="870"/>
    </row>
    <row r="26" spans="2:12" ht="18">
      <c r="E26" s="228"/>
      <c r="F26" s="228"/>
      <c r="G26" s="228"/>
      <c r="H26" s="228"/>
      <c r="I26" s="228"/>
      <c r="J26" s="228"/>
      <c r="K26" s="228"/>
    </row>
  </sheetData>
  <mergeCells count="52">
    <mergeCell ref="B1:L1"/>
    <mergeCell ref="C3:D3"/>
    <mergeCell ref="C4:D4"/>
    <mergeCell ref="B19:D19"/>
    <mergeCell ref="K19:L19"/>
    <mergeCell ref="E3:J4"/>
    <mergeCell ref="K3:L4"/>
    <mergeCell ref="E5:G5"/>
    <mergeCell ref="H5:J5"/>
    <mergeCell ref="K5:L5"/>
    <mergeCell ref="E6:G6"/>
    <mergeCell ref="H6:J6"/>
    <mergeCell ref="K6:L6"/>
    <mergeCell ref="E7:G7"/>
    <mergeCell ref="H7:J7"/>
    <mergeCell ref="K7:L7"/>
    <mergeCell ref="E8:G8"/>
    <mergeCell ref="H8:J8"/>
    <mergeCell ref="K8:L8"/>
    <mergeCell ref="E9:G9"/>
    <mergeCell ref="H9:J9"/>
    <mergeCell ref="K9:L9"/>
    <mergeCell ref="E10:G10"/>
    <mergeCell ref="H10:J10"/>
    <mergeCell ref="K10:L10"/>
    <mergeCell ref="E11:G11"/>
    <mergeCell ref="H11:J11"/>
    <mergeCell ref="K11:L11"/>
    <mergeCell ref="E12:G12"/>
    <mergeCell ref="H12:J12"/>
    <mergeCell ref="K12:L12"/>
    <mergeCell ref="E13:G13"/>
    <mergeCell ref="H13:J13"/>
    <mergeCell ref="K13:L13"/>
    <mergeCell ref="E14:G14"/>
    <mergeCell ref="H14:J14"/>
    <mergeCell ref="K14:L14"/>
    <mergeCell ref="E15:G15"/>
    <mergeCell ref="H15:J15"/>
    <mergeCell ref="K15:L15"/>
    <mergeCell ref="I25:L25"/>
    <mergeCell ref="E19:G19"/>
    <mergeCell ref="H19:J19"/>
    <mergeCell ref="E16:G16"/>
    <mergeCell ref="H16:J16"/>
    <mergeCell ref="K16:L16"/>
    <mergeCell ref="E18:G18"/>
    <mergeCell ref="H18:J18"/>
    <mergeCell ref="K18:L18"/>
    <mergeCell ref="E17:G17"/>
    <mergeCell ref="H17:J17"/>
    <mergeCell ref="K17:L17"/>
  </mergeCells>
  <printOptions horizontalCentered="1"/>
  <pageMargins left="0.19685039370078741" right="0.19685039370078741" top="0.59055118110236227" bottom="0.31496062992125984" header="0.51181102362204722" footer="0.51181102362204722"/>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1"/>
  <sheetViews>
    <sheetView showGridLines="0" zoomScaleNormal="100" zoomScaleSheetLayoutView="100" workbookViewId="0">
      <selection activeCell="O21" sqref="O21"/>
    </sheetView>
  </sheetViews>
  <sheetFormatPr defaultColWidth="8.7109375" defaultRowHeight="12.75"/>
  <cols>
    <col min="1" max="1" width="3.5703125" customWidth="1"/>
    <col min="3" max="3" width="27.140625" customWidth="1"/>
    <col min="4" max="4" width="10.5703125" style="37" customWidth="1"/>
    <col min="5" max="5" width="9.42578125" style="37" customWidth="1"/>
    <col min="6" max="6" width="1.140625" style="230" customWidth="1"/>
    <col min="7" max="7" width="10.28515625" customWidth="1"/>
    <col min="8" max="8" width="9" customWidth="1"/>
    <col min="9" max="9" width="8" customWidth="1"/>
    <col min="10" max="10" width="19.7109375" style="38" customWidth="1"/>
    <col min="11" max="11" width="4.7109375" customWidth="1"/>
  </cols>
  <sheetData>
    <row r="1" spans="1:10" ht="21.75" customHeight="1">
      <c r="A1" s="39"/>
      <c r="B1" s="42"/>
      <c r="C1" s="40"/>
      <c r="D1" s="41"/>
      <c r="E1" s="41"/>
      <c r="F1" s="42"/>
      <c r="G1" s="42"/>
      <c r="H1" s="42"/>
      <c r="I1" s="42"/>
      <c r="J1" s="43"/>
    </row>
    <row r="2" spans="1:10" ht="23.25">
      <c r="A2" s="735" t="s">
        <v>514</v>
      </c>
      <c r="B2" s="735"/>
      <c r="C2" s="735"/>
      <c r="D2" s="735"/>
      <c r="E2" s="735"/>
      <c r="F2" s="735"/>
      <c r="G2" s="735"/>
      <c r="H2" s="735"/>
      <c r="I2" s="735"/>
      <c r="J2" s="735"/>
    </row>
    <row r="3" spans="1:10">
      <c r="A3" s="72"/>
      <c r="J3" s="45"/>
    </row>
    <row r="4" spans="1:10" s="237" customFormat="1" ht="14.25" customHeight="1">
      <c r="A4" s="231" t="s">
        <v>515</v>
      </c>
      <c r="B4" s="232"/>
      <c r="C4" s="232"/>
      <c r="D4" s="233"/>
      <c r="E4" s="234"/>
      <c r="F4" s="235"/>
      <c r="G4" s="232"/>
      <c r="H4" s="232"/>
      <c r="I4" s="232"/>
      <c r="J4" s="236"/>
    </row>
    <row r="5" spans="1:10" ht="17.25" customHeight="1">
      <c r="A5" s="72"/>
      <c r="B5" s="238" t="str">
        <f>Input!D18</f>
        <v>CMA CGM</v>
      </c>
      <c r="C5" s="70"/>
      <c r="D5" s="239"/>
      <c r="E5" s="240"/>
      <c r="F5" s="241"/>
      <c r="G5" s="70"/>
      <c r="H5" s="70"/>
      <c r="I5" s="242"/>
      <c r="J5" s="243"/>
    </row>
    <row r="6" spans="1:10" s="237" customFormat="1" ht="8.25">
      <c r="A6" s="231" t="s">
        <v>352</v>
      </c>
      <c r="B6" s="232"/>
      <c r="C6" s="232"/>
      <c r="D6" s="244" t="s">
        <v>353</v>
      </c>
      <c r="E6" s="245" t="s">
        <v>354</v>
      </c>
      <c r="F6" s="235"/>
      <c r="G6" s="232"/>
      <c r="H6" s="232"/>
      <c r="I6" s="246"/>
      <c r="J6" s="247" t="s">
        <v>516</v>
      </c>
    </row>
    <row r="7" spans="1:10" s="51" customFormat="1" ht="19.5" customHeight="1">
      <c r="A7" s="902" t="str">
        <f>Input!D2</f>
        <v>HANNA</v>
      </c>
      <c r="B7" s="902"/>
      <c r="C7" s="902"/>
      <c r="D7" s="248" t="str">
        <f>Input!H2</f>
        <v>5BGV2</v>
      </c>
      <c r="E7" s="903" t="str">
        <f>+Input!D12</f>
        <v>Napoli</v>
      </c>
      <c r="F7" s="903"/>
      <c r="G7" s="903"/>
      <c r="H7" s="903"/>
      <c r="I7" s="903"/>
      <c r="J7" s="386">
        <f>Input!D8</f>
        <v>46167</v>
      </c>
    </row>
    <row r="8" spans="1:10" s="237" customFormat="1" ht="8.25">
      <c r="A8" s="231" t="s">
        <v>356</v>
      </c>
      <c r="C8" s="246"/>
      <c r="D8" s="249" t="s">
        <v>357</v>
      </c>
      <c r="E8" s="245" t="s">
        <v>358</v>
      </c>
      <c r="F8" s="235"/>
      <c r="G8" s="232"/>
      <c r="H8" s="232"/>
      <c r="I8" s="246"/>
      <c r="J8" s="236"/>
    </row>
    <row r="9" spans="1:10" ht="19.5" customHeight="1">
      <c r="A9" s="902" t="str">
        <f>Input!D4</f>
        <v>Cyprus</v>
      </c>
      <c r="B9" s="902"/>
      <c r="C9" s="902"/>
      <c r="D9" s="531" t="str">
        <f>Input!H4</f>
        <v>Limassol</v>
      </c>
      <c r="E9" s="904" t="str">
        <f>Input!D14</f>
        <v>Alger</v>
      </c>
      <c r="F9" s="904"/>
      <c r="G9" s="904"/>
      <c r="H9" s="904"/>
      <c r="I9" s="904"/>
      <c r="J9" s="251"/>
    </row>
    <row r="10" spans="1:10" s="237" customFormat="1" ht="8.25" customHeight="1" thickBot="1">
      <c r="A10" s="231" t="s">
        <v>517</v>
      </c>
      <c r="C10" s="252"/>
      <c r="D10" s="897" t="s">
        <v>518</v>
      </c>
      <c r="E10" s="897"/>
      <c r="F10" s="897"/>
      <c r="G10" s="899" t="s">
        <v>519</v>
      </c>
      <c r="H10" s="899"/>
      <c r="I10" s="899"/>
      <c r="J10" s="901" t="s">
        <v>510</v>
      </c>
    </row>
    <row r="11" spans="1:10" s="49" customFormat="1" ht="68.25" customHeight="1">
      <c r="A11" s="44"/>
      <c r="B11"/>
      <c r="C11" s="253"/>
      <c r="D11" s="898"/>
      <c r="E11" s="898"/>
      <c r="F11" s="898"/>
      <c r="G11" s="900"/>
      <c r="H11" s="900"/>
      <c r="I11" s="900"/>
      <c r="J11" s="901"/>
    </row>
    <row r="12" spans="1:10" s="51" customFormat="1" ht="30" customHeight="1">
      <c r="A12" s="414">
        <f>Input!K6</f>
        <v>1</v>
      </c>
      <c r="B12" s="905" t="str">
        <f>Input!L6</f>
        <v>ZHYKHARIEV, Dmytro</v>
      </c>
      <c r="C12" s="906"/>
      <c r="D12" s="892"/>
      <c r="E12" s="892"/>
      <c r="F12" s="892"/>
      <c r="G12" s="893"/>
      <c r="H12" s="893"/>
      <c r="I12" s="893"/>
      <c r="J12" s="255"/>
    </row>
    <row r="13" spans="1:10" s="51" customFormat="1" ht="30" customHeight="1">
      <c r="A13" s="414">
        <f>Input!K7</f>
        <v>2</v>
      </c>
      <c r="B13" s="905" t="str">
        <f>Input!L7</f>
        <v>LAURENTE, Artemio Belza</v>
      </c>
      <c r="C13" s="906"/>
      <c r="D13" s="892"/>
      <c r="E13" s="892"/>
      <c r="F13" s="892"/>
      <c r="G13" s="893"/>
      <c r="H13" s="893"/>
      <c r="I13" s="893"/>
      <c r="J13" s="255"/>
    </row>
    <row r="14" spans="1:10" s="51" customFormat="1" ht="30" customHeight="1">
      <c r="A14" s="414">
        <f>Input!K8</f>
        <v>3</v>
      </c>
      <c r="B14" s="905" t="str">
        <f>Input!L8</f>
        <v>MAKAR, Maksym</v>
      </c>
      <c r="C14" s="906"/>
      <c r="D14" s="896"/>
      <c r="E14" s="896"/>
      <c r="F14" s="896"/>
      <c r="G14" s="893"/>
      <c r="H14" s="893"/>
      <c r="I14" s="893"/>
      <c r="J14" s="255"/>
    </row>
    <row r="15" spans="1:10" s="51" customFormat="1" ht="30" customHeight="1">
      <c r="A15" s="414">
        <f>Input!K9</f>
        <v>4</v>
      </c>
      <c r="B15" s="905" t="str">
        <f>Input!L9</f>
        <v>ZADOROZHNY, Sergiy</v>
      </c>
      <c r="C15" s="906"/>
      <c r="D15" s="892"/>
      <c r="E15" s="892"/>
      <c r="F15" s="892"/>
      <c r="G15" s="893"/>
      <c r="H15" s="893"/>
      <c r="I15" s="893"/>
      <c r="J15" s="255"/>
    </row>
    <row r="16" spans="1:10" s="51" customFormat="1" ht="30" customHeight="1">
      <c r="A16" s="414">
        <f>Input!K10</f>
        <v>5</v>
      </c>
      <c r="B16" s="905" t="str">
        <f>Input!L10</f>
        <v>HONCHAR, Yurii</v>
      </c>
      <c r="C16" s="906"/>
      <c r="D16" s="892"/>
      <c r="E16" s="892"/>
      <c r="F16" s="892"/>
      <c r="G16" s="893"/>
      <c r="H16" s="893"/>
      <c r="I16" s="893"/>
      <c r="J16" s="255"/>
    </row>
    <row r="17" spans="1:10" s="51" customFormat="1" ht="30" customHeight="1">
      <c r="A17" s="414">
        <f>Input!K11</f>
        <v>6</v>
      </c>
      <c r="B17" s="905" t="str">
        <f>Input!L11</f>
        <v>CORCINO, Renand Aparece</v>
      </c>
      <c r="C17" s="906"/>
      <c r="D17" s="892"/>
      <c r="E17" s="892"/>
      <c r="F17" s="892"/>
      <c r="G17" s="893"/>
      <c r="H17" s="893"/>
      <c r="I17" s="893"/>
      <c r="J17" s="255"/>
    </row>
    <row r="18" spans="1:10" s="51" customFormat="1" ht="30" customHeight="1">
      <c r="A18" s="414">
        <f>Input!K12</f>
        <v>7</v>
      </c>
      <c r="B18" s="905" t="str">
        <f>Input!L12</f>
        <v>BANEZ, John Kenneth Rebundas</v>
      </c>
      <c r="C18" s="906"/>
      <c r="D18" s="892"/>
      <c r="E18" s="892"/>
      <c r="F18" s="892"/>
      <c r="G18" s="893"/>
      <c r="H18" s="893"/>
      <c r="I18" s="893"/>
      <c r="J18" s="255"/>
    </row>
    <row r="19" spans="1:10" s="51" customFormat="1" ht="30" customHeight="1">
      <c r="A19" s="414">
        <f>Input!K13</f>
        <v>8</v>
      </c>
      <c r="B19" s="905" t="str">
        <f>Input!L13</f>
        <v>PERNIA, James Malitao</v>
      </c>
      <c r="C19" s="906"/>
      <c r="D19" s="892"/>
      <c r="E19" s="892"/>
      <c r="F19" s="892"/>
      <c r="G19" s="893"/>
      <c r="H19" s="893"/>
      <c r="I19" s="893"/>
      <c r="J19" s="258"/>
    </row>
    <row r="20" spans="1:10" s="51" customFormat="1" ht="30" customHeight="1">
      <c r="A20" s="414">
        <f>Input!K14</f>
        <v>9</v>
      </c>
      <c r="B20" s="905" t="str">
        <f>Input!L14</f>
        <v>CANTOS, Philip Justin Perez</v>
      </c>
      <c r="C20" s="906"/>
      <c r="D20" s="892"/>
      <c r="E20" s="892"/>
      <c r="F20" s="892"/>
      <c r="G20" s="893"/>
      <c r="H20" s="893"/>
      <c r="I20" s="893"/>
      <c r="J20" s="255"/>
    </row>
    <row r="21" spans="1:10" s="51" customFormat="1" ht="30" customHeight="1">
      <c r="A21" s="414">
        <f>Input!K15</f>
        <v>10</v>
      </c>
      <c r="B21" s="905" t="str">
        <f>Input!L15</f>
        <v>ROMULO, Roland Bong Rosal</v>
      </c>
      <c r="C21" s="906"/>
      <c r="D21" s="892"/>
      <c r="E21" s="892"/>
      <c r="F21" s="892"/>
      <c r="G21" s="893"/>
      <c r="H21" s="893"/>
      <c r="I21" s="893"/>
      <c r="J21" s="255"/>
    </row>
    <row r="22" spans="1:10" s="51" customFormat="1" ht="30" customHeight="1">
      <c r="A22" s="414">
        <f>Input!K16</f>
        <v>11</v>
      </c>
      <c r="B22" s="905" t="str">
        <f>Input!L16</f>
        <v>MATALUBOS, Gerald Maniapao</v>
      </c>
      <c r="C22" s="906"/>
      <c r="D22" s="892"/>
      <c r="E22" s="892"/>
      <c r="F22" s="892"/>
      <c r="G22" s="893"/>
      <c r="H22" s="893"/>
      <c r="I22" s="893"/>
      <c r="J22" s="255"/>
    </row>
    <row r="23" spans="1:10" s="51" customFormat="1" ht="30" customHeight="1">
      <c r="A23" s="414">
        <f>Input!K17</f>
        <v>12</v>
      </c>
      <c r="B23" s="905" t="str">
        <f>Input!L17</f>
        <v>BERNABE, Brian Malaluan</v>
      </c>
      <c r="C23" s="906"/>
      <c r="D23" s="892"/>
      <c r="E23" s="892"/>
      <c r="F23" s="892"/>
      <c r="G23" s="893"/>
      <c r="H23" s="893"/>
      <c r="I23" s="893"/>
      <c r="J23" s="255"/>
    </row>
    <row r="24" spans="1:10" s="51" customFormat="1" ht="30" customHeight="1" thickBot="1">
      <c r="A24" s="599">
        <f>Input!K18</f>
        <v>13</v>
      </c>
      <c r="B24" s="907" t="str">
        <f>Input!L18</f>
        <v>SISON, Jan Randell Rollo</v>
      </c>
      <c r="C24" s="908"/>
      <c r="D24" s="894"/>
      <c r="E24" s="894"/>
      <c r="F24" s="894"/>
      <c r="G24" s="895"/>
      <c r="H24" s="895"/>
      <c r="I24" s="895"/>
      <c r="J24" s="600"/>
    </row>
    <row r="25" spans="1:10" s="51" customFormat="1" ht="21.75" customHeight="1">
      <c r="H25"/>
      <c r="J25" s="614"/>
    </row>
    <row r="26" spans="1:10" s="51" customFormat="1" ht="21.75" customHeight="1">
      <c r="A26"/>
      <c r="B26"/>
      <c r="C26"/>
      <c r="D26" s="37"/>
      <c r="E26" s="37"/>
      <c r="F26" s="230"/>
      <c r="G26"/>
      <c r="H26"/>
      <c r="I26"/>
    </row>
    <row r="27" spans="1:10" ht="21.75" customHeight="1"/>
    <row r="29" spans="1:10">
      <c r="H29" s="70"/>
    </row>
    <row r="30" spans="1:10" ht="30" customHeight="1">
      <c r="E30" s="533" t="s">
        <v>403</v>
      </c>
      <c r="G30" s="891" t="str">
        <f>Input!L6</f>
        <v>ZHYKHARIEV, Dmytro</v>
      </c>
      <c r="H30" s="891"/>
      <c r="I30" s="891"/>
      <c r="J30" s="532"/>
    </row>
    <row r="31" spans="1:10">
      <c r="F31"/>
      <c r="I31" s="37"/>
    </row>
  </sheetData>
  <mergeCells count="48">
    <mergeCell ref="B22:C22"/>
    <mergeCell ref="B23:C23"/>
    <mergeCell ref="B24:C24"/>
    <mergeCell ref="B17:C17"/>
    <mergeCell ref="B18:C18"/>
    <mergeCell ref="B19:C19"/>
    <mergeCell ref="B20:C20"/>
    <mergeCell ref="B21:C21"/>
    <mergeCell ref="B12:C12"/>
    <mergeCell ref="B13:C13"/>
    <mergeCell ref="B14:C14"/>
    <mergeCell ref="B15:C15"/>
    <mergeCell ref="B16:C16"/>
    <mergeCell ref="A2:J2"/>
    <mergeCell ref="A7:C7"/>
    <mergeCell ref="E7:I7"/>
    <mergeCell ref="A9:C9"/>
    <mergeCell ref="E9:I9"/>
    <mergeCell ref="D10:F11"/>
    <mergeCell ref="G10:I11"/>
    <mergeCell ref="J10:J11"/>
    <mergeCell ref="D12:F12"/>
    <mergeCell ref="G12:I12"/>
    <mergeCell ref="D13:F13"/>
    <mergeCell ref="G13:I13"/>
    <mergeCell ref="D14:F14"/>
    <mergeCell ref="G14:I14"/>
    <mergeCell ref="D15:F15"/>
    <mergeCell ref="G15:I15"/>
    <mergeCell ref="D16:F16"/>
    <mergeCell ref="G16:I16"/>
    <mergeCell ref="D17:F17"/>
    <mergeCell ref="G17:I17"/>
    <mergeCell ref="D18:F18"/>
    <mergeCell ref="G18:I18"/>
    <mergeCell ref="D19:F19"/>
    <mergeCell ref="G19:I19"/>
    <mergeCell ref="D20:F20"/>
    <mergeCell ref="G20:I20"/>
    <mergeCell ref="D21:F21"/>
    <mergeCell ref="G21:I21"/>
    <mergeCell ref="G30:I30"/>
    <mergeCell ref="D22:F22"/>
    <mergeCell ref="G22:I22"/>
    <mergeCell ref="D24:F24"/>
    <mergeCell ref="G24:I24"/>
    <mergeCell ref="D23:F23"/>
    <mergeCell ref="G23:I23"/>
  </mergeCells>
  <printOptions horizontalCentered="1"/>
  <pageMargins left="0.78749999999999998" right="0.39374999999999999" top="0.98402777777777795" bottom="0.98402777777777795" header="0.511811023622047" footer="0.511811023622047"/>
  <pageSetup paperSize="9" scale="84"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view="pageBreakPreview" workbookViewId="0">
      <selection activeCell="I17" sqref="I17"/>
    </sheetView>
  </sheetViews>
  <sheetFormatPr defaultColWidth="8.7109375" defaultRowHeight="12.75"/>
  <cols>
    <col min="1" max="1" width="3.5703125" customWidth="1"/>
    <col min="3" max="3" width="19.140625" customWidth="1"/>
    <col min="4" max="4" width="10.5703125" style="37" customWidth="1"/>
    <col min="5" max="5" width="9.42578125" style="37" customWidth="1"/>
    <col min="6" max="6" width="9.140625" style="230" customWidth="1"/>
    <col min="7" max="7" width="10.28515625" customWidth="1"/>
    <col min="8" max="8" width="9" customWidth="1"/>
    <col min="9" max="9" width="9.7109375" customWidth="1"/>
    <col min="10" max="10" width="12.5703125" style="38" customWidth="1"/>
    <col min="11" max="11" width="4.7109375" customWidth="1"/>
  </cols>
  <sheetData>
    <row r="1" spans="1:14" ht="21.75" customHeight="1">
      <c r="A1" s="39"/>
      <c r="B1" s="42"/>
      <c r="C1" s="40"/>
      <c r="D1" s="41"/>
      <c r="E1" s="41"/>
      <c r="F1" s="42"/>
      <c r="G1" s="42"/>
      <c r="H1" s="42"/>
      <c r="I1" s="42"/>
      <c r="J1" s="43"/>
    </row>
    <row r="2" spans="1:14" ht="23.25">
      <c r="A2" s="735" t="s">
        <v>522</v>
      </c>
      <c r="B2" s="735"/>
      <c r="C2" s="735"/>
      <c r="D2" s="735"/>
      <c r="E2" s="735"/>
      <c r="F2" s="735"/>
      <c r="G2" s="735"/>
      <c r="H2" s="735"/>
      <c r="I2" s="735"/>
      <c r="J2" s="735"/>
    </row>
    <row r="3" spans="1:14">
      <c r="A3" s="72"/>
      <c r="J3" s="45"/>
    </row>
    <row r="4" spans="1:14" s="237" customFormat="1" ht="14.25" customHeight="1">
      <c r="A4" s="231" t="s">
        <v>515</v>
      </c>
      <c r="B4" s="232"/>
      <c r="C4" s="232"/>
      <c r="D4" s="233"/>
      <c r="E4" s="234"/>
      <c r="F4" s="235"/>
      <c r="G4" s="232"/>
      <c r="H4" s="232"/>
      <c r="I4" s="232"/>
      <c r="J4" s="236" t="s">
        <v>523</v>
      </c>
    </row>
    <row r="5" spans="1:14" ht="17.25" customHeight="1">
      <c r="A5" s="72"/>
      <c r="B5" s="238" t="str">
        <f>Input!D18</f>
        <v>CMA CGM</v>
      </c>
      <c r="C5" s="70"/>
      <c r="D5" s="239"/>
      <c r="E5" s="240"/>
      <c r="F5" s="241"/>
      <c r="G5" s="70"/>
      <c r="H5" s="70"/>
      <c r="I5" s="242"/>
      <c r="J5" s="243"/>
    </row>
    <row r="6" spans="1:14" s="237" customFormat="1" ht="8.25">
      <c r="A6" s="231" t="s">
        <v>352</v>
      </c>
      <c r="B6" s="232"/>
      <c r="C6" s="232"/>
      <c r="D6" s="244" t="s">
        <v>353</v>
      </c>
      <c r="E6" s="245" t="s">
        <v>354</v>
      </c>
      <c r="F6" s="235"/>
      <c r="G6" s="232"/>
      <c r="H6" s="232"/>
      <c r="I6" s="246"/>
      <c r="J6" s="247" t="s">
        <v>355</v>
      </c>
    </row>
    <row r="7" spans="1:14" s="51" customFormat="1" ht="19.5" customHeight="1">
      <c r="A7" s="902" t="str">
        <f>Input!D2</f>
        <v>HANNA</v>
      </c>
      <c r="B7" s="902"/>
      <c r="C7" s="902"/>
      <c r="D7" s="248" t="str">
        <f>Input!H2</f>
        <v>5BGV2</v>
      </c>
      <c r="E7" s="903" t="str">
        <f>Input!D12</f>
        <v>Napoli</v>
      </c>
      <c r="F7" s="903"/>
      <c r="G7" s="903"/>
      <c r="H7" s="903"/>
      <c r="I7" s="903"/>
      <c r="J7" s="534">
        <f>Input!D8</f>
        <v>46167</v>
      </c>
    </row>
    <row r="8" spans="1:14" s="237" customFormat="1" ht="8.25">
      <c r="A8" s="231" t="s">
        <v>356</v>
      </c>
      <c r="C8" s="246"/>
      <c r="D8" s="249" t="s">
        <v>357</v>
      </c>
      <c r="E8" s="245" t="s">
        <v>358</v>
      </c>
      <c r="F8" s="235"/>
      <c r="G8" s="232"/>
      <c r="H8" s="232"/>
      <c r="I8" s="246"/>
      <c r="J8" s="236" t="s">
        <v>524</v>
      </c>
    </row>
    <row r="9" spans="1:14" ht="19.5" customHeight="1">
      <c r="A9" s="911" t="str">
        <f>Input!D4</f>
        <v>Cyprus</v>
      </c>
      <c r="B9" s="911"/>
      <c r="C9" s="911"/>
      <c r="D9" s="250" t="str">
        <f>Input!H4</f>
        <v>Limassol</v>
      </c>
      <c r="E9" s="912" t="str">
        <f>Input!D14</f>
        <v>Alger</v>
      </c>
      <c r="F9" s="912"/>
      <c r="G9" s="912"/>
      <c r="H9" s="912"/>
      <c r="I9" s="912"/>
      <c r="J9" s="251">
        <f>Input!D10</f>
        <v>46168</v>
      </c>
    </row>
    <row r="10" spans="1:14" s="237" customFormat="1" ht="8.25">
      <c r="A10" s="231" t="s">
        <v>517</v>
      </c>
      <c r="C10" s="252"/>
      <c r="D10" s="263" t="s">
        <v>525</v>
      </c>
      <c r="E10" s="263" t="s">
        <v>526</v>
      </c>
      <c r="F10" s="264" t="s">
        <v>527</v>
      </c>
      <c r="G10" s="265" t="s">
        <v>528</v>
      </c>
      <c r="H10" s="266" t="s">
        <v>529</v>
      </c>
      <c r="I10" s="265" t="s">
        <v>530</v>
      </c>
      <c r="J10" s="265" t="s">
        <v>531</v>
      </c>
    </row>
    <row r="11" spans="1:14" s="49" customFormat="1" ht="12.75" customHeight="1">
      <c r="A11" s="44"/>
      <c r="B11"/>
      <c r="C11" s="253"/>
      <c r="D11" s="267"/>
      <c r="E11" s="268"/>
      <c r="G11" s="269"/>
      <c r="H11" s="270"/>
      <c r="I11" s="271"/>
      <c r="J11" s="271"/>
    </row>
    <row r="12" spans="1:14" s="51" customFormat="1" ht="21.75" customHeight="1">
      <c r="A12" s="254">
        <f>Input!K6</f>
        <v>1</v>
      </c>
      <c r="B12" s="909" t="str">
        <f>Input!L6</f>
        <v>ZHYKHARIEV, Dmytro</v>
      </c>
      <c r="C12" s="910"/>
      <c r="D12" s="272"/>
      <c r="E12" s="255"/>
      <c r="F12" s="255"/>
      <c r="G12" s="273"/>
      <c r="H12" s="255"/>
      <c r="I12" s="274"/>
      <c r="J12" s="255"/>
    </row>
    <row r="13" spans="1:14" s="51" customFormat="1" ht="21.75" customHeight="1">
      <c r="A13" s="254">
        <f>Input!K7</f>
        <v>2</v>
      </c>
      <c r="B13" s="909" t="str">
        <f>Input!L7</f>
        <v>LAURENTE, Artemio Belza</v>
      </c>
      <c r="C13" s="910"/>
      <c r="D13" s="272"/>
      <c r="E13" s="255"/>
      <c r="F13" s="255"/>
      <c r="G13" s="275"/>
      <c r="H13" s="255"/>
      <c r="I13" s="274"/>
      <c r="J13" s="255"/>
    </row>
    <row r="14" spans="1:14" s="51" customFormat="1" ht="21.75" customHeight="1">
      <c r="A14" s="254">
        <f>Input!K8</f>
        <v>3</v>
      </c>
      <c r="B14" s="909" t="str">
        <f>Input!L8</f>
        <v>MAKAR, Maksym</v>
      </c>
      <c r="C14" s="910"/>
      <c r="D14" s="272"/>
      <c r="E14" s="255"/>
      <c r="F14" s="255"/>
      <c r="G14" s="277"/>
      <c r="H14" s="255"/>
      <c r="I14" s="274"/>
      <c r="J14" s="255"/>
      <c r="L14" s="256" t="s">
        <v>520</v>
      </c>
      <c r="M14" s="256"/>
      <c r="N14" s="256"/>
    </row>
    <row r="15" spans="1:14" s="51" customFormat="1" ht="21.75" customHeight="1">
      <c r="A15" s="254">
        <f>Input!K9</f>
        <v>4</v>
      </c>
      <c r="B15" s="909" t="str">
        <f>Input!L9</f>
        <v>ZADOROZHNY, Sergiy</v>
      </c>
      <c r="C15" s="910"/>
      <c r="D15" s="272"/>
      <c r="E15" s="255"/>
      <c r="F15" s="255"/>
      <c r="G15" s="273"/>
      <c r="H15" s="255"/>
      <c r="I15" s="274"/>
      <c r="J15" s="255"/>
    </row>
    <row r="16" spans="1:14" s="51" customFormat="1" ht="21.75" customHeight="1">
      <c r="A16" s="254">
        <f>Input!K10</f>
        <v>5</v>
      </c>
      <c r="B16" s="909" t="str">
        <f>Input!L10</f>
        <v>HONCHAR, Yurii</v>
      </c>
      <c r="C16" s="910"/>
      <c r="D16" s="272"/>
      <c r="E16" s="255"/>
      <c r="F16" s="255"/>
      <c r="G16" s="255"/>
      <c r="H16" s="255"/>
      <c r="I16" s="274"/>
      <c r="J16" s="255"/>
    </row>
    <row r="17" spans="1:11" s="51" customFormat="1" ht="21.75" customHeight="1">
      <c r="A17" s="254">
        <f>Input!K11</f>
        <v>6</v>
      </c>
      <c r="B17" s="909" t="str">
        <f>Input!L11</f>
        <v>CORCINO, Renand Aparece</v>
      </c>
      <c r="C17" s="910"/>
      <c r="D17" s="272"/>
      <c r="E17" s="255"/>
      <c r="F17" s="255"/>
      <c r="G17" s="255"/>
      <c r="H17" s="258"/>
      <c r="I17" s="274"/>
      <c r="J17" s="255"/>
    </row>
    <row r="18" spans="1:11" s="51" customFormat="1" ht="21.75" customHeight="1">
      <c r="A18" s="254">
        <f>Input!K12</f>
        <v>7</v>
      </c>
      <c r="B18" s="909" t="str">
        <f>Input!L12</f>
        <v>BANEZ, John Kenneth Rebundas</v>
      </c>
      <c r="C18" s="910"/>
      <c r="D18" s="272"/>
      <c r="E18" s="258"/>
      <c r="F18" s="258"/>
      <c r="G18" s="258"/>
      <c r="H18" s="255"/>
      <c r="I18" s="278"/>
      <c r="J18" s="255"/>
    </row>
    <row r="19" spans="1:11" s="51" customFormat="1" ht="21.75" customHeight="1">
      <c r="A19" s="254">
        <f>Input!K13</f>
        <v>8</v>
      </c>
      <c r="B19" s="909" t="str">
        <f>Input!L13</f>
        <v>PERNIA, James Malitao</v>
      </c>
      <c r="C19" s="910"/>
      <c r="D19" s="279"/>
      <c r="E19" s="255"/>
      <c r="F19" s="255"/>
      <c r="G19" s="273"/>
      <c r="H19" s="255"/>
      <c r="I19" s="274"/>
      <c r="J19" s="258"/>
    </row>
    <row r="20" spans="1:11" s="51" customFormat="1" ht="21.75" customHeight="1">
      <c r="A20" s="254">
        <f>Input!K14</f>
        <v>9</v>
      </c>
      <c r="B20" s="909" t="str">
        <f>Input!L14</f>
        <v>CANTOS, Philip Justin Perez</v>
      </c>
      <c r="C20" s="910"/>
      <c r="D20" s="272"/>
      <c r="E20" s="255"/>
      <c r="F20" s="255"/>
      <c r="G20" s="273"/>
      <c r="H20" s="255"/>
      <c r="I20" s="274"/>
      <c r="J20" s="255"/>
    </row>
    <row r="21" spans="1:11" s="51" customFormat="1" ht="21.75" customHeight="1">
      <c r="A21" s="254">
        <f>Input!K15</f>
        <v>10</v>
      </c>
      <c r="B21" s="909" t="str">
        <f>Input!L15</f>
        <v>ROMULO, Roland Bong Rosal</v>
      </c>
      <c r="C21" s="910"/>
      <c r="D21" s="272"/>
      <c r="E21" s="255"/>
      <c r="F21" s="255"/>
      <c r="G21" s="280"/>
      <c r="H21" s="255"/>
      <c r="I21" s="274"/>
      <c r="J21" s="255"/>
    </row>
    <row r="22" spans="1:11" s="51" customFormat="1" ht="21.75" customHeight="1">
      <c r="A22" s="254">
        <f>Input!K16</f>
        <v>11</v>
      </c>
      <c r="B22" s="909" t="str">
        <f>Input!L16</f>
        <v>MATALUBOS, Gerald Maniapao</v>
      </c>
      <c r="C22" s="910"/>
      <c r="D22" s="272"/>
      <c r="E22" s="255"/>
      <c r="F22" s="255"/>
      <c r="G22" s="273"/>
      <c r="H22" s="281"/>
      <c r="I22" s="274"/>
      <c r="J22" s="255"/>
    </row>
    <row r="23" spans="1:11" s="51" customFormat="1" ht="21.75" customHeight="1">
      <c r="A23" s="254">
        <f>Input!K17</f>
        <v>12</v>
      </c>
      <c r="B23" s="909" t="str">
        <f>Input!L17</f>
        <v>BERNABE, Brian Malaluan</v>
      </c>
      <c r="C23" s="910"/>
      <c r="D23" s="272"/>
      <c r="E23" s="281"/>
      <c r="F23" s="281"/>
      <c r="G23" s="282"/>
      <c r="H23" s="281"/>
      <c r="I23" s="283"/>
      <c r="J23" s="255"/>
    </row>
    <row r="24" spans="1:11" s="51" customFormat="1" ht="21.75" customHeight="1">
      <c r="A24" s="254">
        <f>Input!K18</f>
        <v>13</v>
      </c>
      <c r="B24" s="913" t="str">
        <f>Input!L18</f>
        <v>SISON, Jan Randell Rollo</v>
      </c>
      <c r="C24" s="914"/>
      <c r="D24" s="281"/>
      <c r="E24" s="281"/>
      <c r="F24" s="281"/>
      <c r="G24" s="615"/>
      <c r="H24" s="281"/>
      <c r="I24" s="283"/>
      <c r="J24" s="281"/>
      <c r="K24" s="285"/>
    </row>
    <row r="25" spans="1:11" s="51" customFormat="1" ht="21.75" customHeight="1">
      <c r="A25" s="254"/>
      <c r="B25" s="913"/>
      <c r="C25" s="914"/>
      <c r="D25" s="281"/>
      <c r="E25" s="281"/>
      <c r="F25" s="281"/>
      <c r="G25" s="284"/>
      <c r="H25" s="281"/>
      <c r="I25" s="283"/>
      <c r="J25" s="281"/>
    </row>
    <row r="26" spans="1:11" s="51" customFormat="1" ht="21.75" customHeight="1">
      <c r="A26" s="254"/>
      <c r="B26" s="227"/>
      <c r="C26" s="257"/>
      <c r="D26" s="286"/>
      <c r="E26" s="286"/>
      <c r="F26" s="286"/>
      <c r="G26" s="286"/>
      <c r="H26" s="286"/>
      <c r="I26" s="287"/>
      <c r="J26" s="281"/>
    </row>
    <row r="27" spans="1:11" s="51" customFormat="1" ht="21.75" customHeight="1">
      <c r="A27" s="288"/>
      <c r="B27" s="289"/>
      <c r="C27" s="290"/>
      <c r="D27" s="291"/>
      <c r="E27" s="291"/>
      <c r="F27" s="291"/>
      <c r="G27" s="291"/>
      <c r="H27" s="292"/>
      <c r="I27" s="293"/>
      <c r="J27" s="294"/>
      <c r="K27" s="285"/>
    </row>
    <row r="28" spans="1:11" s="51" customFormat="1" ht="21.75" customHeight="1">
      <c r="A28" s="259"/>
      <c r="B28" s="260"/>
      <c r="C28" s="260"/>
      <c r="D28" s="260"/>
      <c r="E28" s="260"/>
      <c r="F28" s="260"/>
      <c r="G28" s="260"/>
      <c r="H28"/>
      <c r="I28" s="260"/>
      <c r="J28" s="261"/>
    </row>
    <row r="29" spans="1:11" s="51" customFormat="1" ht="21.75" customHeight="1">
      <c r="A29" s="44"/>
      <c r="B29"/>
      <c r="C29"/>
      <c r="D29" s="37"/>
      <c r="E29" s="37"/>
      <c r="F29" s="230"/>
      <c r="G29"/>
      <c r="H29"/>
      <c r="I29"/>
      <c r="J29" s="262"/>
    </row>
    <row r="30" spans="1:11">
      <c r="A30" s="44"/>
      <c r="J30" s="45"/>
    </row>
    <row r="31" spans="1:11">
      <c r="A31" s="44"/>
      <c r="J31" s="45"/>
    </row>
    <row r="32" spans="1:11">
      <c r="A32" s="44"/>
      <c r="J32" s="45"/>
    </row>
    <row r="33" spans="1:10">
      <c r="A33" s="44"/>
      <c r="H33" t="s">
        <v>521</v>
      </c>
      <c r="J33" s="45"/>
    </row>
    <row r="34" spans="1:10">
      <c r="A34" s="44"/>
      <c r="H34" s="915" t="s">
        <v>24</v>
      </c>
      <c r="I34" s="916"/>
      <c r="J34" s="45"/>
    </row>
    <row r="35" spans="1:10">
      <c r="A35" s="44"/>
      <c r="F35"/>
      <c r="I35" s="37"/>
      <c r="J35" s="45"/>
    </row>
    <row r="36" spans="1:10">
      <c r="A36" s="72"/>
      <c r="B36" s="70"/>
      <c r="C36" s="70"/>
      <c r="D36" s="239"/>
      <c r="E36" s="239"/>
      <c r="F36" s="241"/>
      <c r="G36" s="70"/>
      <c r="H36" s="70"/>
      <c r="I36" s="70"/>
      <c r="J36" s="68"/>
    </row>
  </sheetData>
  <mergeCells count="20">
    <mergeCell ref="B21:C21"/>
    <mergeCell ref="B22:C22"/>
    <mergeCell ref="B23:C23"/>
    <mergeCell ref="B24:C24"/>
    <mergeCell ref="H34:I34"/>
    <mergeCell ref="B25:C25"/>
    <mergeCell ref="A2:J2"/>
    <mergeCell ref="A7:C7"/>
    <mergeCell ref="E7:I7"/>
    <mergeCell ref="A9:C9"/>
    <mergeCell ref="E9:I9"/>
    <mergeCell ref="B17:C17"/>
    <mergeCell ref="B18:C18"/>
    <mergeCell ref="B19:C19"/>
    <mergeCell ref="B20:C20"/>
    <mergeCell ref="B12:C12"/>
    <mergeCell ref="B13:C13"/>
    <mergeCell ref="B14:C14"/>
    <mergeCell ref="B15:C15"/>
    <mergeCell ref="B16:C16"/>
  </mergeCells>
  <printOptions horizontalCentered="1"/>
  <pageMargins left="0.78749999999999998" right="0.39374999999999999" top="0.98402777777777795" bottom="0.98402777777777795" header="0.511811023622047" footer="0.511811023622047"/>
  <pageSetup paperSize="9" scale="84"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J24"/>
  <sheetViews>
    <sheetView showGridLines="0" view="pageBreakPreview" workbookViewId="0">
      <selection activeCell="H11" sqref="H11"/>
    </sheetView>
  </sheetViews>
  <sheetFormatPr defaultColWidth="3" defaultRowHeight="12.75"/>
  <cols>
    <col min="1" max="1" width="5.7109375" style="355" customWidth="1"/>
    <col min="2" max="2" width="25.85546875" style="355" customWidth="1"/>
    <col min="3" max="3" width="10.7109375" style="355" customWidth="1"/>
    <col min="4" max="4" width="12.7109375" style="355" customWidth="1"/>
    <col min="5" max="8" width="16" style="355" customWidth="1"/>
    <col min="9" max="9" width="25.7109375" style="355" customWidth="1"/>
    <col min="10" max="1024" width="3" style="355"/>
  </cols>
  <sheetData>
    <row r="1" spans="1:14" s="356" customFormat="1" ht="24.75" customHeight="1">
      <c r="A1" s="918" t="s">
        <v>605</v>
      </c>
      <c r="B1" s="918"/>
      <c r="C1" s="918"/>
      <c r="D1" s="918"/>
      <c r="E1" s="918"/>
      <c r="F1" s="918"/>
      <c r="G1" s="918"/>
      <c r="H1" s="918"/>
      <c r="I1" s="918"/>
    </row>
    <row r="2" spans="1:14">
      <c r="A2" s="357"/>
      <c r="I2" s="358"/>
    </row>
    <row r="3" spans="1:14" s="355" customFormat="1" ht="8.25" customHeight="1">
      <c r="A3" s="919" t="str">
        <f>Input!D2</f>
        <v>HANNA</v>
      </c>
      <c r="B3" s="919"/>
      <c r="C3" s="919"/>
      <c r="D3" s="920" t="s">
        <v>921</v>
      </c>
      <c r="E3" s="920"/>
      <c r="F3" s="920"/>
      <c r="G3" s="920"/>
      <c r="H3" s="920"/>
      <c r="I3" s="920"/>
    </row>
    <row r="4" spans="1:14" s="359" customFormat="1" ht="15" customHeight="1">
      <c r="A4" s="919"/>
      <c r="B4" s="919"/>
      <c r="C4" s="919"/>
      <c r="D4" s="920"/>
      <c r="E4" s="920"/>
      <c r="F4" s="920"/>
      <c r="G4" s="920"/>
      <c r="H4" s="920"/>
      <c r="I4" s="920"/>
    </row>
    <row r="5" spans="1:14" s="355" customFormat="1" ht="12.75" customHeight="1">
      <c r="A5" s="921" t="str">
        <f>Input!D4</f>
        <v>Cyprus</v>
      </c>
      <c r="B5" s="921"/>
      <c r="C5" s="921"/>
      <c r="D5" s="920"/>
      <c r="E5" s="920"/>
      <c r="F5" s="920"/>
      <c r="G5" s="920"/>
      <c r="H5" s="920"/>
      <c r="I5" s="920"/>
    </row>
    <row r="6" spans="1:14" s="355" customFormat="1" ht="15" customHeight="1">
      <c r="A6" s="921"/>
      <c r="B6" s="921"/>
      <c r="C6" s="921"/>
      <c r="D6" s="920"/>
      <c r="E6" s="920"/>
      <c r="F6" s="920"/>
      <c r="G6" s="920"/>
      <c r="H6" s="920"/>
      <c r="I6" s="920"/>
    </row>
    <row r="7" spans="1:14" s="355" customFormat="1" ht="19.5" customHeight="1">
      <c r="A7" s="922" t="s">
        <v>606</v>
      </c>
      <c r="B7" s="923" t="s">
        <v>923</v>
      </c>
      <c r="C7" s="923" t="s">
        <v>922</v>
      </c>
      <c r="D7" s="924" t="s">
        <v>20</v>
      </c>
      <c r="E7" s="925" t="s">
        <v>924</v>
      </c>
      <c r="F7" s="925" t="s">
        <v>925</v>
      </c>
      <c r="G7" s="925" t="s">
        <v>926</v>
      </c>
      <c r="H7" s="926" t="s">
        <v>927</v>
      </c>
      <c r="I7" s="927" t="s">
        <v>920</v>
      </c>
    </row>
    <row r="8" spans="1:14" s="355" customFormat="1" ht="19.5" customHeight="1" thickBot="1">
      <c r="A8" s="922"/>
      <c r="B8" s="923"/>
      <c r="C8" s="923"/>
      <c r="D8" s="924"/>
      <c r="E8" s="925"/>
      <c r="F8" s="925"/>
      <c r="G8" s="925"/>
      <c r="H8" s="926"/>
      <c r="I8" s="927"/>
    </row>
    <row r="9" spans="1:14" ht="30" customHeight="1">
      <c r="A9" s="544">
        <f>Input!K6</f>
        <v>1</v>
      </c>
      <c r="B9" s="535" t="str">
        <f>Input!L6</f>
        <v>ZHYKHARIEV, Dmytro</v>
      </c>
      <c r="C9" s="539" t="str">
        <f>Input!M6</f>
        <v>Master</v>
      </c>
      <c r="D9" s="540" t="str">
        <f>Input!N6</f>
        <v>Ukraine</v>
      </c>
      <c r="E9" s="360"/>
      <c r="F9" s="361"/>
      <c r="G9" s="362"/>
      <c r="H9" s="360"/>
      <c r="I9" s="363"/>
    </row>
    <row r="10" spans="1:14" ht="30" customHeight="1">
      <c r="A10" s="545">
        <f>Input!K7</f>
        <v>2</v>
      </c>
      <c r="B10" s="536" t="str">
        <f>Input!L7</f>
        <v>LAURENTE, Artemio Belza</v>
      </c>
      <c r="C10" s="541" t="str">
        <f>Input!M7</f>
        <v>Ch.Off</v>
      </c>
      <c r="D10" s="540" t="str">
        <f>Input!N7</f>
        <v>Philippines</v>
      </c>
      <c r="E10" s="364"/>
      <c r="F10" s="362"/>
      <c r="G10" s="364"/>
      <c r="H10" s="364"/>
      <c r="I10" s="365"/>
    </row>
    <row r="11" spans="1:14" ht="30" customHeight="1">
      <c r="A11" s="546">
        <f>Input!K8</f>
        <v>3</v>
      </c>
      <c r="B11" s="537" t="str">
        <f>Input!L8</f>
        <v>MAKAR, Maksym</v>
      </c>
      <c r="C11" s="542" t="str">
        <f>Input!M8</f>
        <v>2nd Off</v>
      </c>
      <c r="D11" s="540" t="str">
        <f>Input!N8</f>
        <v>Ukraine</v>
      </c>
      <c r="E11" s="364"/>
      <c r="F11" s="362"/>
      <c r="G11" s="364"/>
      <c r="H11" s="364"/>
      <c r="I11" s="390"/>
      <c r="N11" s="355" t="s">
        <v>0</v>
      </c>
    </row>
    <row r="12" spans="1:14" ht="30" customHeight="1">
      <c r="A12" s="546">
        <f>Input!K9</f>
        <v>4</v>
      </c>
      <c r="B12" s="537" t="str">
        <f>Input!L9</f>
        <v>ZADOROZHNY, Sergiy</v>
      </c>
      <c r="C12" s="542" t="str">
        <f>Input!M9</f>
        <v>Ch.Eng</v>
      </c>
      <c r="D12" s="540" t="str">
        <f>Input!N9</f>
        <v>Ukraine</v>
      </c>
      <c r="E12" s="364"/>
      <c r="F12" s="362"/>
      <c r="G12" s="364"/>
      <c r="H12" s="364"/>
      <c r="I12" s="366"/>
    </row>
    <row r="13" spans="1:14" ht="30" customHeight="1">
      <c r="A13" s="546">
        <f>Input!K10</f>
        <v>5</v>
      </c>
      <c r="B13" s="537" t="str">
        <f>Input!L10</f>
        <v>HONCHAR, Yurii</v>
      </c>
      <c r="C13" s="542" t="str">
        <f>Input!M10</f>
        <v>2nd Eng</v>
      </c>
      <c r="D13" s="540" t="str">
        <f>Input!N10</f>
        <v>Ukraine</v>
      </c>
      <c r="E13" s="364"/>
      <c r="F13" s="362"/>
      <c r="G13" s="364"/>
      <c r="H13" s="364"/>
      <c r="I13" s="365"/>
    </row>
    <row r="14" spans="1:14" ht="30" customHeight="1">
      <c r="A14" s="546">
        <f>Input!K11</f>
        <v>6</v>
      </c>
      <c r="B14" s="537" t="str">
        <f>Input!L11</f>
        <v>CORCINO, Renand Aparece</v>
      </c>
      <c r="C14" s="542" t="str">
        <f>Input!M11</f>
        <v>A/B</v>
      </c>
      <c r="D14" s="540" t="str">
        <f>Input!N11</f>
        <v>Philippines</v>
      </c>
      <c r="E14" s="364"/>
      <c r="F14" s="362"/>
      <c r="G14" s="362"/>
      <c r="H14" s="362"/>
      <c r="I14" s="367"/>
    </row>
    <row r="15" spans="1:14" ht="30" customHeight="1">
      <c r="A15" s="546">
        <f>Input!K12</f>
        <v>7</v>
      </c>
      <c r="B15" s="537" t="str">
        <f>Input!L12</f>
        <v>BANEZ, John Kenneth Rebundas</v>
      </c>
      <c r="C15" s="542" t="str">
        <f>Input!M12</f>
        <v>O/S</v>
      </c>
      <c r="D15" s="540" t="str">
        <f>Input!N12</f>
        <v>Philippines</v>
      </c>
      <c r="E15" s="364"/>
      <c r="F15" s="362"/>
      <c r="G15" s="362"/>
      <c r="H15" s="362"/>
      <c r="I15" s="365"/>
    </row>
    <row r="16" spans="1:14" ht="30" customHeight="1">
      <c r="A16" s="546">
        <f>Input!K13</f>
        <v>8</v>
      </c>
      <c r="B16" s="537" t="str">
        <f>Input!L13</f>
        <v>PERNIA, James Malitao</v>
      </c>
      <c r="C16" s="542" t="str">
        <f>Input!M13</f>
        <v>O/S</v>
      </c>
      <c r="D16" s="540" t="str">
        <f>Input!N13</f>
        <v>Philippines</v>
      </c>
      <c r="E16" s="364"/>
      <c r="F16" s="362"/>
      <c r="G16" s="362"/>
      <c r="H16" s="362"/>
      <c r="I16" s="365"/>
    </row>
    <row r="17" spans="1:9" ht="30" customHeight="1">
      <c r="A17" s="546">
        <f>Input!K14</f>
        <v>9</v>
      </c>
      <c r="B17" s="537" t="str">
        <f>Input!L14</f>
        <v>CANTOS, Philip Justin Perez</v>
      </c>
      <c r="C17" s="542" t="str">
        <f>Input!M14</f>
        <v>O/S</v>
      </c>
      <c r="D17" s="540" t="str">
        <f>Input!N14</f>
        <v>Philippines</v>
      </c>
      <c r="E17" s="364"/>
      <c r="F17" s="362"/>
      <c r="G17" s="362"/>
      <c r="H17" s="362"/>
      <c r="I17" s="365"/>
    </row>
    <row r="18" spans="1:9" ht="30" customHeight="1">
      <c r="A18" s="546">
        <f>Input!K15</f>
        <v>10</v>
      </c>
      <c r="B18" s="537" t="str">
        <f>Input!L15</f>
        <v>ROMULO, Roland Bong Rosal</v>
      </c>
      <c r="C18" s="542" t="str">
        <f>Input!M15</f>
        <v>O/S</v>
      </c>
      <c r="D18" s="540" t="str">
        <f>Input!N15</f>
        <v>Philippines</v>
      </c>
      <c r="E18" s="364"/>
      <c r="F18" s="362"/>
      <c r="G18" s="362"/>
      <c r="H18" s="362"/>
      <c r="I18" s="365"/>
    </row>
    <row r="19" spans="1:9" ht="30" customHeight="1">
      <c r="A19" s="546">
        <f>Input!K16</f>
        <v>11</v>
      </c>
      <c r="B19" s="537" t="str">
        <f>Input!L16</f>
        <v>MATALUBOS, Gerald Maniapao</v>
      </c>
      <c r="C19" s="542" t="str">
        <f>Input!M16</f>
        <v>Wiper</v>
      </c>
      <c r="D19" s="540" t="str">
        <f>Input!N16</f>
        <v>Philippines</v>
      </c>
      <c r="E19" s="364"/>
      <c r="F19" s="362"/>
      <c r="G19" s="362"/>
      <c r="H19" s="362"/>
      <c r="I19" s="365"/>
    </row>
    <row r="20" spans="1:9" ht="30" customHeight="1">
      <c r="A20" s="546">
        <f>Input!K17</f>
        <v>12</v>
      </c>
      <c r="B20" s="537" t="str">
        <f>Input!L17</f>
        <v>BERNABE, Brian Malaluan</v>
      </c>
      <c r="C20" s="542" t="str">
        <f>Input!M17</f>
        <v>Cook</v>
      </c>
      <c r="D20" s="540" t="str">
        <f>Input!N17</f>
        <v>Philippines</v>
      </c>
      <c r="E20" s="391"/>
      <c r="F20" s="362"/>
      <c r="G20" s="362"/>
      <c r="H20" s="391"/>
      <c r="I20" s="365"/>
    </row>
    <row r="21" spans="1:9" ht="30" customHeight="1" thickBot="1">
      <c r="A21" s="547">
        <f>Input!K18</f>
        <v>13</v>
      </c>
      <c r="B21" s="538" t="str">
        <f>Input!L18</f>
        <v>SISON, Jan Randell Rollo</v>
      </c>
      <c r="C21" s="543" t="str">
        <f>Input!M18</f>
        <v>Dcad</v>
      </c>
      <c r="D21" s="540" t="str">
        <f>Input!N18</f>
        <v>Philippines</v>
      </c>
      <c r="E21" s="392"/>
      <c r="F21" s="393"/>
      <c r="G21" s="393"/>
      <c r="H21" s="392"/>
      <c r="I21" s="394"/>
    </row>
    <row r="22" spans="1:9" ht="31.5" customHeight="1">
      <c r="A22" s="917" t="s">
        <v>607</v>
      </c>
      <c r="B22" s="917"/>
      <c r="C22" s="917"/>
      <c r="D22" s="917"/>
      <c r="E22" s="917"/>
      <c r="F22" s="917"/>
      <c r="G22" s="917"/>
      <c r="H22" s="917"/>
      <c r="I22" s="917"/>
    </row>
    <row r="23" spans="1:9" ht="13.5">
      <c r="B23" s="368"/>
      <c r="C23" s="297"/>
      <c r="E23" s="341"/>
    </row>
    <row r="24" spans="1:9">
      <c r="C24" s="369"/>
    </row>
  </sheetData>
  <mergeCells count="14">
    <mergeCell ref="A22:I22"/>
    <mergeCell ref="A1:I1"/>
    <mergeCell ref="A3:C4"/>
    <mergeCell ref="D3:I6"/>
    <mergeCell ref="A5:C6"/>
    <mergeCell ref="A7:A8"/>
    <mergeCell ref="B7:B8"/>
    <mergeCell ref="C7:C8"/>
    <mergeCell ref="D7:D8"/>
    <mergeCell ref="E7:E8"/>
    <mergeCell ref="F7:F8"/>
    <mergeCell ref="G7:G8"/>
    <mergeCell ref="H7:H8"/>
    <mergeCell ref="I7:I8"/>
  </mergeCells>
  <printOptions horizontalCentered="1" verticalCentered="1"/>
  <pageMargins left="0.196527777777778" right="0.196527777777778" top="0.39374999999999999" bottom="0.39374999999999999" header="0.511811023622047" footer="0.511811023622047"/>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Input</vt:lpstr>
      <vt:lpstr>Port of Call List</vt:lpstr>
      <vt:lpstr>ISPS (POC Company Form)</vt:lpstr>
      <vt:lpstr>Crew Arr.</vt:lpstr>
      <vt:lpstr>Crew Dep.</vt:lpstr>
      <vt:lpstr>Crew Arr. (ALG)</vt:lpstr>
      <vt:lpstr>Crew Effects</vt:lpstr>
      <vt:lpstr>Ship's Stores</vt:lpstr>
      <vt:lpstr>PAX (A)</vt:lpstr>
      <vt:lpstr>PAX (D)</vt:lpstr>
      <vt:lpstr>NIL List</vt:lpstr>
      <vt:lpstr>Ship money</vt:lpstr>
      <vt:lpstr>MDH</vt:lpstr>
      <vt:lpstr>Narcotic List</vt:lpstr>
      <vt:lpstr>Crew Money</vt:lpstr>
      <vt:lpstr>Cash Adv.</vt:lpstr>
      <vt:lpstr>Smokers</vt:lpstr>
      <vt:lpstr>Vaccination</vt:lpstr>
      <vt:lpstr>Crew Contact Nos.</vt:lpstr>
      <vt:lpstr>'Cash Adv.'!Print_Area</vt:lpstr>
      <vt:lpstr>'Crew Arr.'!Print_Area</vt:lpstr>
      <vt:lpstr>'Crew Arr. (ALG)'!Print_Area</vt:lpstr>
      <vt:lpstr>'Crew Contact Nos.'!Print_Area</vt:lpstr>
      <vt:lpstr>'Crew Dep.'!Print_Area</vt:lpstr>
      <vt:lpstr>'Crew Effects'!Print_Area</vt:lpstr>
      <vt:lpstr>'Crew Money'!Print_Area</vt:lpstr>
      <vt:lpstr>MDH!Print_Area</vt:lpstr>
      <vt:lpstr>'Narcotic List'!Print_Area</vt:lpstr>
      <vt:lpstr>'NIL List'!Print_Area</vt:lpstr>
      <vt:lpstr>'PAX (A)'!Print_Area</vt:lpstr>
      <vt:lpstr>'PAX (D)'!Print_Area</vt:lpstr>
      <vt:lpstr>'Port of Call List'!Print_Area</vt:lpstr>
      <vt:lpstr>'Ship money'!Print_Area</vt:lpstr>
      <vt:lpstr>'Ship''s Stores'!Print_Area</vt:lpstr>
      <vt:lpstr>Smokers!Print_Area</vt:lpstr>
      <vt:lpstr>Vaccination!Print_Area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MVHanna</dc:creator>
  <dc:description/>
  <cp:lastModifiedBy>MVHanna</cp:lastModifiedBy>
  <cp:revision>6</cp:revision>
  <cp:lastPrinted>2026-05-20T11:00:57Z</cp:lastPrinted>
  <dcterms:created xsi:type="dcterms:W3CDTF">2014-08-10T13:37:18Z</dcterms:created>
  <dcterms:modified xsi:type="dcterms:W3CDTF">2026-05-22T12:36:14Z</dcterms:modified>
  <dc:language>en-US</dc:language>
</cp:coreProperties>
</file>